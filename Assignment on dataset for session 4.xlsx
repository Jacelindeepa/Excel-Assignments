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acelin deepa\Downloads\"/>
    </mc:Choice>
  </mc:AlternateContent>
  <xr:revisionPtr revIDLastSave="0" documentId="13_ncr:1_{09395391-461D-45DC-BAE9-EDF6AD70DE5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Z_2253786C_9E77_4871_B225_90EE90B04701_.wvu.FilterData" localSheetId="0" hidden="1">Sheet1!$A$1:$I$16</definedName>
  </definedNames>
  <calcPr calcId="191029"/>
  <customWorkbookViews>
    <customWorkbookView name="Table1 filter view" guid="{2253786C-9E77-4871-B225-90EE90B04701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qC6SKLLHEp6C3jDIJXyekJIehZdHxR+QLe+QDKFyIXU="/>
    </ext>
  </extLst>
</workbook>
</file>

<file path=xl/calcChain.xml><?xml version="1.0" encoding="utf-8"?>
<calcChain xmlns="http://schemas.openxmlformats.org/spreadsheetml/2006/main">
  <c r="M2" i="1" l="1"/>
  <c r="O2" i="1"/>
  <c r="M3" i="1"/>
  <c r="N3" i="1"/>
  <c r="O3" i="1"/>
  <c r="M4" i="1"/>
  <c r="N4" i="1"/>
  <c r="O4" i="1"/>
  <c r="M5" i="1"/>
  <c r="N5" i="1"/>
  <c r="O5" i="1"/>
  <c r="M6" i="1"/>
  <c r="N6" i="1"/>
  <c r="O6" i="1"/>
  <c r="M7" i="1"/>
  <c r="N7" i="1"/>
  <c r="O7" i="1"/>
  <c r="M8" i="1"/>
  <c r="N8" i="1"/>
  <c r="O8" i="1"/>
  <c r="M9" i="1"/>
  <c r="N9" i="1"/>
  <c r="O9" i="1"/>
  <c r="M10" i="1"/>
  <c r="N10" i="1"/>
  <c r="O10" i="1"/>
  <c r="M11" i="1"/>
  <c r="N11" i="1"/>
  <c r="O11" i="1"/>
  <c r="M12" i="1"/>
  <c r="N12" i="1"/>
  <c r="O12" i="1"/>
  <c r="M13" i="1"/>
  <c r="N13" i="1"/>
  <c r="O13" i="1"/>
  <c r="O16" i="1"/>
  <c r="O14" i="1"/>
  <c r="O15" i="1"/>
  <c r="N14" i="1"/>
  <c r="N15" i="1"/>
  <c r="N16" i="1"/>
  <c r="M14" i="1"/>
  <c r="M15" i="1"/>
  <c r="M16" i="1"/>
  <c r="B27" i="1"/>
  <c r="B28" i="1"/>
  <c r="B30" i="1"/>
  <c r="B29" i="1"/>
  <c r="B31" i="1"/>
  <c r="B32" i="1"/>
  <c r="B33" i="1"/>
  <c r="B34" i="1"/>
  <c r="B35" i="1"/>
  <c r="B36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2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B39" i="1"/>
  <c r="B23" i="1"/>
  <c r="B22" i="1"/>
  <c r="B21" i="1"/>
  <c r="B20" i="1"/>
  <c r="H17" i="1"/>
  <c r="G17" i="1"/>
  <c r="F17" i="1"/>
  <c r="B19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</calcChain>
</file>

<file path=xl/sharedStrings.xml><?xml version="1.0" encoding="utf-8"?>
<sst xmlns="http://schemas.openxmlformats.org/spreadsheetml/2006/main" count="117" uniqueCount="77">
  <si>
    <t>Student_ID</t>
  </si>
  <si>
    <t>Name</t>
  </si>
  <si>
    <t>Gender</t>
  </si>
  <si>
    <t>Department</t>
  </si>
  <si>
    <t>City</t>
  </si>
  <si>
    <t>Maths</t>
  </si>
  <si>
    <t>Science</t>
  </si>
  <si>
    <t>English</t>
  </si>
  <si>
    <t>Attendance</t>
  </si>
  <si>
    <t>S001</t>
  </si>
  <si>
    <t>Arun Kumar</t>
  </si>
  <si>
    <t>Male</t>
  </si>
  <si>
    <t>CSE</t>
  </si>
  <si>
    <t>Chennai</t>
  </si>
  <si>
    <t>S002</t>
  </si>
  <si>
    <t>Priya Sharma</t>
  </si>
  <si>
    <t>Female</t>
  </si>
  <si>
    <t>IT</t>
  </si>
  <si>
    <t>Bangalore</t>
  </si>
  <si>
    <t>S003</t>
  </si>
  <si>
    <t>Rahul Verma</t>
  </si>
  <si>
    <t>S004</t>
  </si>
  <si>
    <t>Divya Raj</t>
  </si>
  <si>
    <t>ECE</t>
  </si>
  <si>
    <t>Coimbatore</t>
  </si>
  <si>
    <t>S005</t>
  </si>
  <si>
    <t>Karthik Kumar</t>
  </si>
  <si>
    <t>S006</t>
  </si>
  <si>
    <t>Anitha Devi</t>
  </si>
  <si>
    <t>Madurai</t>
  </si>
  <si>
    <t>S007</t>
  </si>
  <si>
    <t>Sanjay Kumar</t>
  </si>
  <si>
    <t>S008</t>
  </si>
  <si>
    <t>Meena Priya</t>
  </si>
  <si>
    <t>S009</t>
  </si>
  <si>
    <t>Vignesh Raj</t>
  </si>
  <si>
    <t>S010</t>
  </si>
  <si>
    <t>Swetha Kumar</t>
  </si>
  <si>
    <t>S011</t>
  </si>
  <si>
    <t>Aravind Kumar</t>
  </si>
  <si>
    <t>S012</t>
  </si>
  <si>
    <t>Nandhini Devi</t>
  </si>
  <si>
    <t>S013</t>
  </si>
  <si>
    <t>Manoj Kumar</t>
  </si>
  <si>
    <t>S014</t>
  </si>
  <si>
    <t>Keerthana Raj</t>
  </si>
  <si>
    <t>S015</t>
  </si>
  <si>
    <t>Suresh Babu</t>
  </si>
  <si>
    <t>Sum_of_marks</t>
  </si>
  <si>
    <t>sum of maths mark</t>
  </si>
  <si>
    <t>highest Science mark.</t>
  </si>
  <si>
    <t>lowest English mark</t>
  </si>
  <si>
    <t>How many students are available</t>
  </si>
  <si>
    <t>average Attendance.</t>
  </si>
  <si>
    <t>Display "Pass" if Maths mark is greater than or equal to 60 else "Fail".</t>
  </si>
  <si>
    <t>Display "Excellent" if Attendance is above 90 else "Need Improvement".</t>
  </si>
  <si>
    <t>Display "Eligible" if English marks are above 75</t>
  </si>
  <si>
    <t>Find the total Maths marks of CSE students.</t>
  </si>
  <si>
    <t>Find total Attendance of Female students.</t>
  </si>
  <si>
    <t>Count how many students belong to CSE.</t>
  </si>
  <si>
    <t xml:space="preserve"> Count students from Chennai.</t>
  </si>
  <si>
    <t>Count students whose attendance is greater than 90.</t>
  </si>
  <si>
    <t>Find average Maths marks of Female students.</t>
  </si>
  <si>
    <t>Find average Science marks of IT students.</t>
  </si>
  <si>
    <t>Extract first 5 characters from Name.</t>
  </si>
  <si>
    <t>Extract the last 5 characters.</t>
  </si>
  <si>
    <t>Extract 4 characters starting from 3rd position.</t>
  </si>
  <si>
    <t>Convert Name into UPPERCASE.</t>
  </si>
  <si>
    <t>Convert Name into lowercase.</t>
  </si>
  <si>
    <t>Convert "aRUN kumAR" into Proper Case.</t>
  </si>
  <si>
    <t>Upper</t>
  </si>
  <si>
    <t>Lower</t>
  </si>
  <si>
    <t>Maths status</t>
  </si>
  <si>
    <t>English status</t>
  </si>
  <si>
    <t>Attendence</t>
  </si>
  <si>
    <t>eligible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</si>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</sst>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theme="1"/>
      <name val="Calibri"/>
    </font>
    <font>
      <b/>
      <sz val="11"/>
      <color theme="0"/>
      <name val="Calibri"/>
      <family val="2"/>
      <scheme val="minor"/>
    </font>
    <font>
      <sz val="11"/>
      <color theme="2"/>
      <name val="Calibri"/>
      <family val="2"/>
      <scheme val="minor"/>
    </font>
    <font>
      <sz val="11"/>
      <color theme="1"/>
      <name val="Calibri"/>
      <family val="2"/>
      <scheme val="major"/>
    </font>
    <font>
      <sz val="11"/>
      <color rgb="FF000000"/>
      <name val="Calibri"/>
      <family val="2"/>
      <scheme val="maj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right" vertical="center" wrapText="1"/>
    </xf>
    <xf numFmtId="0" fontId="0" fillId="0" borderId="0" xfId="0" applyAlignment="1"/>
    <xf numFmtId="0" fontId="5" fillId="0" borderId="0" xfId="0" applyFont="1"/>
    <xf numFmtId="0" fontId="4" fillId="0" borderId="0" xfId="0" applyFont="1"/>
    <xf numFmtId="0" fontId="1" fillId="0" borderId="0" xfId="0" applyFont="1"/>
    <xf numFmtId="0" fontId="0" fillId="0" borderId="0" xfId="0" applyNumberFormat="1"/>
    <xf numFmtId="0" fontId="0" fillId="0" borderId="1" xfId="0" applyBorder="1" applyAlignment="1">
      <alignment vertical="top"/>
    </xf>
    <xf numFmtId="0" fontId="6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/>
    </xf>
    <xf numFmtId="0" fontId="1" fillId="0" borderId="0" xfId="0" applyFont="1" applyAlignment="1"/>
    <xf numFmtId="0" fontId="0" fillId="0" borderId="1" xfId="0" applyBorder="1" applyAlignment="1">
      <alignment horizontal="right" vertical="top"/>
    </xf>
    <xf numFmtId="0" fontId="1" fillId="0" borderId="1" xfId="0" applyFont="1" applyBorder="1" applyAlignment="1">
      <alignment horizontal="right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Sheet1-style" pivot="0" count="4" xr9:uid="{00000000-0011-0000-FFFF-FFFF00000000}">
      <tableStyleElement type="wholeTable" size="0" dxfId="3"/>
      <tableStyleElement type="headerRow" dxfId="6"/>
      <tableStyleElement type="firstRowStripe" dxfId="5"/>
      <tableStyleElement type="secondRowStripe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K17" totalsRowCount="1">
  <tableColumns count="11">
    <tableColumn id="1" xr3:uid="{00000000-0010-0000-0000-000001000000}" name="Student_ID"/>
    <tableColumn id="2" xr3:uid="{00000000-0010-0000-0000-000002000000}" name="Name"/>
    <tableColumn id="3" xr3:uid="{00000000-0010-0000-0000-000003000000}" name="Gender"/>
    <tableColumn id="4" xr3:uid="{00000000-0010-0000-0000-000004000000}" name="Department"/>
    <tableColumn id="5" xr3:uid="{00000000-0010-0000-0000-000005000000}" name="City"/>
    <tableColumn id="6" xr3:uid="{00000000-0010-0000-0000-000006000000}" name="Maths" totalsRowFunction="sum"/>
    <tableColumn id="7" xr3:uid="{00000000-0010-0000-0000-000007000000}" name="Science" totalsRowFunction="sum"/>
    <tableColumn id="8" xr3:uid="{00000000-0010-0000-0000-000008000000}" name="English" totalsRowFunction="sum"/>
    <tableColumn id="9" xr3:uid="{00000000-0010-0000-0000-000009000000}" name="Attendance"/>
    <tableColumn id="10" xr3:uid="{467E830A-6C6A-4B06-9767-4775F4475894}" name="Sum_of_marks" dataDxfId="1" totalsRowDxfId="2">
      <calculatedColumnFormula>SUM(F2,G2,H2)</calculatedColumnFormula>
    </tableColumn>
    <tableColumn id="11" xr3:uid="{8A9EBEB0-1760-4715-8BC9-94CE2534E0E5}" name="Upper" dataDxfId="0">
      <calculatedColumnFormula>UPPER(B2)</calculatedColumnFormula>
    </tableColumn>
  </tableColumns>
  <tableStyleInfo name="TableStyleMedium6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00"/>
  <sheetViews>
    <sheetView tabSelected="1" zoomScale="83" workbookViewId="0">
      <pane ySplit="1" topLeftCell="A2" activePane="bottomLeft" state="frozen"/>
      <selection pane="bottomLeft" activeCell="I24" sqref="I24"/>
    </sheetView>
  </sheetViews>
  <sheetFormatPr defaultColWidth="14.44140625" defaultRowHeight="15" customHeight="1" x14ac:dyDescent="0.3"/>
  <cols>
    <col min="1" max="1" width="33.44140625" customWidth="1"/>
    <col min="2" max="2" width="16.44140625" customWidth="1"/>
    <col min="3" max="3" width="11.5546875" customWidth="1"/>
    <col min="4" max="4" width="15.5546875" customWidth="1"/>
    <col min="5" max="5" width="14.5546875" customWidth="1"/>
    <col min="6" max="6" width="16.88671875" customWidth="1"/>
    <col min="7" max="7" width="16.109375" customWidth="1"/>
    <col min="8" max="8" width="12.5546875" customWidth="1"/>
    <col min="9" max="9" width="17.5546875" customWidth="1"/>
    <col min="10" max="10" width="13.33203125" customWidth="1"/>
    <col min="11" max="11" width="16.109375" customWidth="1"/>
    <col min="12" max="12" width="14.88671875" customWidth="1"/>
    <col min="13" max="13" width="13.109375" customWidth="1"/>
    <col min="14" max="14" width="13.5546875" customWidth="1"/>
    <col min="15" max="26" width="8.6640625" customWidth="1"/>
  </cols>
  <sheetData>
    <row r="1" spans="1:18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7" t="s">
        <v>48</v>
      </c>
      <c r="K1" s="8" t="s">
        <v>70</v>
      </c>
      <c r="L1" s="8" t="s">
        <v>71</v>
      </c>
      <c r="M1" s="8" t="s">
        <v>72</v>
      </c>
      <c r="N1" s="8" t="s">
        <v>73</v>
      </c>
      <c r="O1" s="8" t="s">
        <v>74</v>
      </c>
    </row>
    <row r="2" spans="1:18" ht="14.25" customHeight="1" x14ac:dyDescent="0.3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4">
        <v>85</v>
      </c>
      <c r="G2" s="4">
        <v>78</v>
      </c>
      <c r="H2" s="4">
        <v>82</v>
      </c>
      <c r="I2" s="4">
        <v>95</v>
      </c>
      <c r="J2" s="8">
        <f t="shared" ref="J2:J16" si="0">SUM(F2,G2,H2)</f>
        <v>245</v>
      </c>
      <c r="K2" t="str">
        <f t="shared" ref="K2:K16" si="1">UPPER(B2)</f>
        <v>ARUN KUMAR</v>
      </c>
      <c r="L2" t="str">
        <f>LOWER(B2)</f>
        <v>arun kumar</v>
      </c>
      <c r="M2" t="str">
        <f>IF(F2&gt;=60,"pass","fail")</f>
        <v>pass</v>
      </c>
      <c r="N2" s="8" t="s">
        <v>75</v>
      </c>
      <c r="O2" t="str">
        <f>IF(Table1[[#This Row],[Attendance]]&gt;90,"excellent","Need improvement")</f>
        <v>excellent</v>
      </c>
    </row>
    <row r="3" spans="1:18" ht="14.25" customHeight="1" x14ac:dyDescent="0.3">
      <c r="A3" s="3" t="s">
        <v>14</v>
      </c>
      <c r="B3" s="3" t="s">
        <v>15</v>
      </c>
      <c r="C3" s="3" t="s">
        <v>16</v>
      </c>
      <c r="D3" s="3" t="s">
        <v>17</v>
      </c>
      <c r="E3" s="3" t="s">
        <v>18</v>
      </c>
      <c r="F3" s="4">
        <v>72</v>
      </c>
      <c r="G3" s="4">
        <v>88</v>
      </c>
      <c r="H3" s="4">
        <v>76</v>
      </c>
      <c r="I3" s="4">
        <v>92</v>
      </c>
      <c r="J3">
        <f t="shared" si="0"/>
        <v>236</v>
      </c>
      <c r="K3" t="str">
        <f t="shared" si="1"/>
        <v>PRIYA SHARMA</v>
      </c>
      <c r="L3" t="str">
        <f t="shared" ref="L3:L17" si="2">LOWER(B3)</f>
        <v>priya sharma</v>
      </c>
      <c r="M3" t="str">
        <f t="shared" ref="M3:M16" si="3">IF(F3&gt;=60,"pass","fail")</f>
        <v>pass</v>
      </c>
      <c r="N3" t="str">
        <f>IF(Table1[[#This Row],[English]]&gt;75,"eligible","Not eligible")</f>
        <v>eligible</v>
      </c>
      <c r="O3" t="str">
        <f>IF(Table1[[#This Row],[Attendance]]&gt;90,"excellent","Need improvement")</f>
        <v>excellent</v>
      </c>
    </row>
    <row r="4" spans="1:18" ht="14.25" customHeight="1" x14ac:dyDescent="0.3">
      <c r="A4" s="3" t="s">
        <v>19</v>
      </c>
      <c r="B4" s="3" t="s">
        <v>20</v>
      </c>
      <c r="C4" s="3" t="s">
        <v>11</v>
      </c>
      <c r="D4" s="3" t="s">
        <v>12</v>
      </c>
      <c r="E4" s="3" t="s">
        <v>13</v>
      </c>
      <c r="F4" s="4">
        <v>58</v>
      </c>
      <c r="G4" s="4">
        <v>65</v>
      </c>
      <c r="H4" s="4">
        <v>71</v>
      </c>
      <c r="I4" s="4">
        <v>87</v>
      </c>
      <c r="J4">
        <f t="shared" si="0"/>
        <v>194</v>
      </c>
      <c r="K4" s="14" t="str">
        <f t="shared" si="1"/>
        <v>RAHUL VERMA</v>
      </c>
      <c r="L4" t="str">
        <f t="shared" si="2"/>
        <v>rahul verma</v>
      </c>
      <c r="M4" t="str">
        <f t="shared" si="3"/>
        <v>fail</v>
      </c>
      <c r="N4" t="str">
        <f>IF(Table1[[#This Row],[English]]&gt;75,"eligible","Not eligible")</f>
        <v>Not eligible</v>
      </c>
      <c r="O4" t="str">
        <f>IF(Table1[[#This Row],[Attendance]]&gt;90,"excellent","Need improvement")</f>
        <v>Need improvement</v>
      </c>
      <c r="P4" s="5"/>
      <c r="Q4" s="5"/>
      <c r="R4" s="5"/>
    </row>
    <row r="5" spans="1:18" ht="14.25" customHeight="1" x14ac:dyDescent="0.3">
      <c r="A5" s="3" t="s">
        <v>21</v>
      </c>
      <c r="B5" s="3" t="s">
        <v>22</v>
      </c>
      <c r="C5" s="3" t="s">
        <v>16</v>
      </c>
      <c r="D5" s="3" t="s">
        <v>23</v>
      </c>
      <c r="E5" s="3" t="s">
        <v>24</v>
      </c>
      <c r="F5" s="4">
        <v>91</v>
      </c>
      <c r="G5" s="4">
        <v>94</v>
      </c>
      <c r="H5" s="4">
        <v>89</v>
      </c>
      <c r="I5" s="4">
        <v>96</v>
      </c>
      <c r="J5">
        <f t="shared" si="0"/>
        <v>274</v>
      </c>
      <c r="K5" t="str">
        <f t="shared" si="1"/>
        <v>DIVYA RAJ</v>
      </c>
      <c r="L5" t="str">
        <f t="shared" si="2"/>
        <v>divya raj</v>
      </c>
      <c r="M5" t="str">
        <f t="shared" si="3"/>
        <v>pass</v>
      </c>
      <c r="N5" t="str">
        <f>IF(Table1[[#This Row],[English]]&gt;75,"eligible","Not eligible")</f>
        <v>eligible</v>
      </c>
      <c r="O5" t="str">
        <f>IF(Table1[[#This Row],[Attendance]]&gt;90,"excellent","Need improvement")</f>
        <v>excellent</v>
      </c>
    </row>
    <row r="6" spans="1:18" ht="14.25" customHeight="1" x14ac:dyDescent="0.3">
      <c r="A6" s="3" t="s">
        <v>25</v>
      </c>
      <c r="B6" s="3" t="s">
        <v>26</v>
      </c>
      <c r="C6" s="3" t="s">
        <v>11</v>
      </c>
      <c r="D6" s="3" t="s">
        <v>17</v>
      </c>
      <c r="E6" s="3" t="s">
        <v>13</v>
      </c>
      <c r="F6" s="4">
        <v>66</v>
      </c>
      <c r="G6" s="4">
        <v>72</v>
      </c>
      <c r="H6" s="4">
        <v>68</v>
      </c>
      <c r="I6" s="4">
        <v>89</v>
      </c>
      <c r="J6">
        <f t="shared" si="0"/>
        <v>206</v>
      </c>
      <c r="K6" t="str">
        <f t="shared" si="1"/>
        <v>KARTHIK KUMAR</v>
      </c>
      <c r="L6" t="str">
        <f t="shared" si="2"/>
        <v>karthik kumar</v>
      </c>
      <c r="M6" t="str">
        <f t="shared" si="3"/>
        <v>pass</v>
      </c>
      <c r="N6" t="str">
        <f>IF(Table1[[#This Row],[English]]&gt;75,"eligible","Not eligible")</f>
        <v>Not eligible</v>
      </c>
      <c r="O6" t="str">
        <f>IF(Table1[[#This Row],[Attendance]]&gt;90,"excellent","Need improvement")</f>
        <v>Need improvement</v>
      </c>
    </row>
    <row r="7" spans="1:18" ht="14.25" customHeight="1" x14ac:dyDescent="0.3">
      <c r="A7" s="3" t="s">
        <v>27</v>
      </c>
      <c r="B7" s="3" t="s">
        <v>28</v>
      </c>
      <c r="C7" s="3" t="s">
        <v>16</v>
      </c>
      <c r="D7" s="3" t="s">
        <v>12</v>
      </c>
      <c r="E7" s="3" t="s">
        <v>29</v>
      </c>
      <c r="F7" s="4">
        <v>79</v>
      </c>
      <c r="G7" s="4">
        <v>81</v>
      </c>
      <c r="H7" s="4">
        <v>85</v>
      </c>
      <c r="I7" s="4">
        <v>93</v>
      </c>
      <c r="J7">
        <f t="shared" si="0"/>
        <v>245</v>
      </c>
      <c r="K7" t="str">
        <f t="shared" si="1"/>
        <v>ANITHA DEVI</v>
      </c>
      <c r="L7" t="str">
        <f t="shared" si="2"/>
        <v>anitha devi</v>
      </c>
      <c r="M7" t="str">
        <f t="shared" si="3"/>
        <v>pass</v>
      </c>
      <c r="N7" t="str">
        <f>IF(Table1[[#This Row],[English]]&gt;75,"eligible","Not eligible")</f>
        <v>eligible</v>
      </c>
      <c r="O7" t="str">
        <f>IF(Table1[[#This Row],[Attendance]]&gt;90,"excellent","Need improvement")</f>
        <v>excellent</v>
      </c>
    </row>
    <row r="8" spans="1:18" ht="14.25" customHeight="1" x14ac:dyDescent="0.3">
      <c r="A8" s="3" t="s">
        <v>30</v>
      </c>
      <c r="B8" s="3" t="s">
        <v>31</v>
      </c>
      <c r="C8" s="3" t="s">
        <v>11</v>
      </c>
      <c r="D8" s="3" t="s">
        <v>23</v>
      </c>
      <c r="E8" s="3" t="s">
        <v>13</v>
      </c>
      <c r="F8" s="4">
        <v>45</v>
      </c>
      <c r="G8" s="4">
        <v>59</v>
      </c>
      <c r="H8" s="4">
        <v>62</v>
      </c>
      <c r="I8" s="4">
        <v>78</v>
      </c>
      <c r="J8">
        <f t="shared" si="0"/>
        <v>166</v>
      </c>
      <c r="K8" t="str">
        <f t="shared" si="1"/>
        <v>SANJAY KUMAR</v>
      </c>
      <c r="L8" t="str">
        <f t="shared" si="2"/>
        <v>sanjay kumar</v>
      </c>
      <c r="M8" t="str">
        <f t="shared" si="3"/>
        <v>fail</v>
      </c>
      <c r="N8" t="str">
        <f>IF(Table1[[#This Row],[English]]&gt;75,"eligible","Not eligible")</f>
        <v>Not eligible</v>
      </c>
      <c r="O8" t="str">
        <f>IF(Table1[[#This Row],[Attendance]]&gt;90,"excellent","Need improvement")</f>
        <v>Need improvement</v>
      </c>
    </row>
    <row r="9" spans="1:18" ht="14.25" customHeight="1" x14ac:dyDescent="0.3">
      <c r="A9" s="3" t="s">
        <v>32</v>
      </c>
      <c r="B9" s="3" t="s">
        <v>33</v>
      </c>
      <c r="C9" s="3" t="s">
        <v>16</v>
      </c>
      <c r="D9" s="3" t="s">
        <v>17</v>
      </c>
      <c r="E9" s="3" t="s">
        <v>13</v>
      </c>
      <c r="F9" s="4">
        <v>88</v>
      </c>
      <c r="G9" s="4">
        <v>91</v>
      </c>
      <c r="H9" s="4">
        <v>79</v>
      </c>
      <c r="I9" s="4">
        <v>97</v>
      </c>
      <c r="J9">
        <f t="shared" si="0"/>
        <v>258</v>
      </c>
      <c r="K9" t="str">
        <f t="shared" si="1"/>
        <v>MEENA PRIYA</v>
      </c>
      <c r="L9" t="str">
        <f t="shared" si="2"/>
        <v>meena priya</v>
      </c>
      <c r="M9" t="str">
        <f t="shared" si="3"/>
        <v>pass</v>
      </c>
      <c r="N9" t="str">
        <f>IF(Table1[[#This Row],[English]]&gt;75,"eligible","Not eligible")</f>
        <v>eligible</v>
      </c>
      <c r="O9" t="str">
        <f>IF(Table1[[#This Row],[Attendance]]&gt;90,"excellent","Need improvement")</f>
        <v>excellent</v>
      </c>
    </row>
    <row r="10" spans="1:18" ht="14.25" customHeight="1" x14ac:dyDescent="0.3">
      <c r="A10" s="3" t="s">
        <v>34</v>
      </c>
      <c r="B10" s="3" t="s">
        <v>35</v>
      </c>
      <c r="C10" s="3" t="s">
        <v>11</v>
      </c>
      <c r="D10" s="3" t="s">
        <v>12</v>
      </c>
      <c r="E10" s="3" t="s">
        <v>24</v>
      </c>
      <c r="F10" s="4">
        <v>63</v>
      </c>
      <c r="G10" s="4">
        <v>74</v>
      </c>
      <c r="H10" s="4">
        <v>77</v>
      </c>
      <c r="I10" s="4">
        <v>91</v>
      </c>
      <c r="J10">
        <f t="shared" si="0"/>
        <v>214</v>
      </c>
      <c r="K10" t="str">
        <f t="shared" si="1"/>
        <v>VIGNESH RAJ</v>
      </c>
      <c r="L10" t="str">
        <f t="shared" si="2"/>
        <v>vignesh raj</v>
      </c>
      <c r="M10" t="str">
        <f t="shared" si="3"/>
        <v>pass</v>
      </c>
      <c r="N10" t="str">
        <f>IF(Table1[[#This Row],[English]]&gt;75,"eligible","Not eligible")</f>
        <v>eligible</v>
      </c>
      <c r="O10" t="str">
        <f>IF(Table1[[#This Row],[Attendance]]&gt;90,"excellent","Need improvement")</f>
        <v>excellent</v>
      </c>
    </row>
    <row r="11" spans="1:18" ht="14.25" customHeight="1" x14ac:dyDescent="0.3">
      <c r="A11" s="3" t="s">
        <v>36</v>
      </c>
      <c r="B11" s="3" t="s">
        <v>37</v>
      </c>
      <c r="C11" s="3" t="s">
        <v>16</v>
      </c>
      <c r="D11" s="3" t="s">
        <v>23</v>
      </c>
      <c r="E11" s="3" t="s">
        <v>13</v>
      </c>
      <c r="F11" s="4">
        <v>54</v>
      </c>
      <c r="G11" s="4">
        <v>68</v>
      </c>
      <c r="H11" s="4">
        <v>73</v>
      </c>
      <c r="I11" s="4">
        <v>86</v>
      </c>
      <c r="J11">
        <f t="shared" si="0"/>
        <v>195</v>
      </c>
      <c r="K11" t="str">
        <f t="shared" si="1"/>
        <v>SWETHA KUMAR</v>
      </c>
      <c r="L11" t="str">
        <f t="shared" si="2"/>
        <v>swetha kumar</v>
      </c>
      <c r="M11" t="str">
        <f t="shared" si="3"/>
        <v>fail</v>
      </c>
      <c r="N11" t="str">
        <f>IF(Table1[[#This Row],[English]]&gt;75,"eligible","Not eligible")</f>
        <v>Not eligible</v>
      </c>
      <c r="O11" t="str">
        <f>IF(Table1[[#This Row],[Attendance]]&gt;90,"excellent","Need improvement")</f>
        <v>Need improvement</v>
      </c>
    </row>
    <row r="12" spans="1:18" ht="14.25" customHeight="1" x14ac:dyDescent="0.3">
      <c r="A12" s="3" t="s">
        <v>38</v>
      </c>
      <c r="B12" s="3" t="s">
        <v>39</v>
      </c>
      <c r="C12" s="3" t="s">
        <v>11</v>
      </c>
      <c r="D12" s="3" t="s">
        <v>17</v>
      </c>
      <c r="E12" s="3" t="s">
        <v>29</v>
      </c>
      <c r="F12" s="4">
        <v>76</v>
      </c>
      <c r="G12" s="4">
        <v>83</v>
      </c>
      <c r="H12" s="4">
        <v>81</v>
      </c>
      <c r="I12" s="4">
        <v>94</v>
      </c>
      <c r="J12">
        <f t="shared" si="0"/>
        <v>240</v>
      </c>
      <c r="K12" t="str">
        <f t="shared" si="1"/>
        <v>ARAVIND KUMAR</v>
      </c>
      <c r="L12" t="str">
        <f t="shared" si="2"/>
        <v>aravind kumar</v>
      </c>
      <c r="M12" t="str">
        <f t="shared" si="3"/>
        <v>pass</v>
      </c>
      <c r="N12" t="str">
        <f>IF(Table1[[#This Row],[English]]&gt;75,"eligible","Not eligible")</f>
        <v>eligible</v>
      </c>
      <c r="O12" t="str">
        <f>IF(Table1[[#This Row],[Attendance]]&gt;90,"excellent","Need improvement")</f>
        <v>excellent</v>
      </c>
    </row>
    <row r="13" spans="1:18" ht="14.25" customHeight="1" x14ac:dyDescent="0.3">
      <c r="A13" s="3" t="s">
        <v>40</v>
      </c>
      <c r="B13" s="3" t="s">
        <v>41</v>
      </c>
      <c r="C13" s="3" t="s">
        <v>16</v>
      </c>
      <c r="D13" s="3" t="s">
        <v>12</v>
      </c>
      <c r="E13" s="3" t="s">
        <v>13</v>
      </c>
      <c r="F13" s="4">
        <v>92</v>
      </c>
      <c r="G13" s="4">
        <v>89</v>
      </c>
      <c r="H13" s="4">
        <v>95</v>
      </c>
      <c r="I13" s="4">
        <v>98</v>
      </c>
      <c r="J13">
        <f t="shared" si="0"/>
        <v>276</v>
      </c>
      <c r="K13" t="str">
        <f t="shared" si="1"/>
        <v>NANDHINI DEVI</v>
      </c>
      <c r="L13" t="str">
        <f t="shared" si="2"/>
        <v>nandhini devi</v>
      </c>
      <c r="M13" t="str">
        <f t="shared" si="3"/>
        <v>pass</v>
      </c>
      <c r="N13" t="str">
        <f>IF(Table1[[#This Row],[English]]&gt;75,"eligible","Not eligible")</f>
        <v>eligible</v>
      </c>
      <c r="O13" t="str">
        <f>IF(Table1[[#This Row],[Attendance]]&gt;90,"excellent","Need improvement")</f>
        <v>excellent</v>
      </c>
    </row>
    <row r="14" spans="1:18" ht="14.25" customHeight="1" x14ac:dyDescent="0.3">
      <c r="A14" s="3" t="s">
        <v>42</v>
      </c>
      <c r="B14" s="3" t="s">
        <v>43</v>
      </c>
      <c r="C14" s="3" t="s">
        <v>11</v>
      </c>
      <c r="D14" s="3" t="s">
        <v>23</v>
      </c>
      <c r="E14" s="3" t="s">
        <v>24</v>
      </c>
      <c r="F14" s="4">
        <v>69</v>
      </c>
      <c r="G14" s="4">
        <v>61</v>
      </c>
      <c r="H14" s="4">
        <v>58</v>
      </c>
      <c r="I14" s="4">
        <v>84</v>
      </c>
      <c r="J14">
        <f t="shared" si="0"/>
        <v>188</v>
      </c>
      <c r="K14" t="str">
        <f t="shared" si="1"/>
        <v>MANOJ KUMAR</v>
      </c>
      <c r="L14" t="str">
        <f t="shared" si="2"/>
        <v>manoj kumar</v>
      </c>
      <c r="M14" t="str">
        <f t="shared" si="3"/>
        <v>pass</v>
      </c>
      <c r="N14" t="str">
        <f>IF(Table1[[#This Row],[English]]&gt;75,"eligible","Not eligible")</f>
        <v>Not eligible</v>
      </c>
      <c r="O14" t="str">
        <f>IF(Table1[[#This Row],[Attendance]]&gt;90,"excellent","Need improvement")</f>
        <v>Need improvement</v>
      </c>
    </row>
    <row r="15" spans="1:18" ht="14.25" customHeight="1" x14ac:dyDescent="0.3">
      <c r="A15" s="3" t="s">
        <v>44</v>
      </c>
      <c r="B15" s="3" t="s">
        <v>45</v>
      </c>
      <c r="C15" s="3" t="s">
        <v>16</v>
      </c>
      <c r="D15" s="3" t="s">
        <v>17</v>
      </c>
      <c r="E15" s="3" t="s">
        <v>13</v>
      </c>
      <c r="F15" s="4">
        <v>81</v>
      </c>
      <c r="G15" s="4">
        <v>86</v>
      </c>
      <c r="H15" s="4">
        <v>88</v>
      </c>
      <c r="I15" s="4">
        <v>90</v>
      </c>
      <c r="J15">
        <f t="shared" si="0"/>
        <v>255</v>
      </c>
      <c r="K15" t="str">
        <f t="shared" si="1"/>
        <v>KEERTHANA RAJ</v>
      </c>
      <c r="L15" t="str">
        <f t="shared" si="2"/>
        <v>keerthana raj</v>
      </c>
      <c r="M15" t="str">
        <f t="shared" si="3"/>
        <v>pass</v>
      </c>
      <c r="N15" t="str">
        <f>IF(Table1[[#This Row],[English]]&gt;75,"eligible","Not eligible")</f>
        <v>eligible</v>
      </c>
      <c r="O15" t="str">
        <f>IF(Table1[[#This Row],[Attendance]]&gt;90,"excellent","Need improvement")</f>
        <v>Need improvement</v>
      </c>
    </row>
    <row r="16" spans="1:18" ht="14.25" customHeight="1" x14ac:dyDescent="0.3">
      <c r="A16" s="3" t="s">
        <v>46</v>
      </c>
      <c r="B16" s="3" t="s">
        <v>47</v>
      </c>
      <c r="C16" s="3" t="s">
        <v>11</v>
      </c>
      <c r="D16" s="3" t="s">
        <v>12</v>
      </c>
      <c r="E16" s="3" t="s">
        <v>29</v>
      </c>
      <c r="F16" s="4">
        <v>57</v>
      </c>
      <c r="G16" s="4">
        <v>70</v>
      </c>
      <c r="H16" s="4">
        <v>64</v>
      </c>
      <c r="I16" s="4">
        <v>82</v>
      </c>
      <c r="J16">
        <f t="shared" si="0"/>
        <v>191</v>
      </c>
      <c r="K16" t="str">
        <f t="shared" si="1"/>
        <v>SURESH BABU</v>
      </c>
      <c r="L16" t="str">
        <f t="shared" si="2"/>
        <v>suresh babu</v>
      </c>
      <c r="M16" t="str">
        <f t="shared" si="3"/>
        <v>fail</v>
      </c>
      <c r="N16" t="str">
        <f>IF(Table1[[#This Row],[English]]&gt;75,"eligible","Not eligible")</f>
        <v>Not eligible</v>
      </c>
      <c r="O16" t="str">
        <f>IF(Table1[[#This Row],[Attendance]]&gt;90,"excellent","Need improvement")</f>
        <v>Need improvement</v>
      </c>
    </row>
    <row r="17" spans="1:12" ht="14.25" customHeight="1" x14ac:dyDescent="0.3">
      <c r="F17">
        <f>SUBTOTAL(109,Table1[Maths])</f>
        <v>1076</v>
      </c>
      <c r="G17">
        <f>SUBTOTAL(109,Table1[Science])</f>
        <v>1159</v>
      </c>
      <c r="H17">
        <f>SUBTOTAL(109,Table1[English])</f>
        <v>1148</v>
      </c>
      <c r="J17" s="9"/>
      <c r="L17" t="str">
        <f t="shared" si="2"/>
        <v/>
      </c>
    </row>
    <row r="18" spans="1:12" ht="14.25" customHeight="1" x14ac:dyDescent="0.3"/>
    <row r="19" spans="1:12" ht="14.25" customHeight="1" x14ac:dyDescent="0.3">
      <c r="A19" s="11" t="s">
        <v>49</v>
      </c>
      <c r="B19" s="15">
        <f>SUM(F2:F16)</f>
        <v>1076</v>
      </c>
      <c r="C19" s="10"/>
      <c r="G19" s="8"/>
    </row>
    <row r="20" spans="1:12" ht="14.25" customHeight="1" x14ac:dyDescent="0.3">
      <c r="A20" s="12" t="s">
        <v>50</v>
      </c>
      <c r="B20" s="15">
        <f>MAX(G2:G16)</f>
        <v>94</v>
      </c>
      <c r="C20" s="10"/>
    </row>
    <row r="21" spans="1:12" ht="14.25" customHeight="1" x14ac:dyDescent="0.3">
      <c r="A21" s="12" t="s">
        <v>51</v>
      </c>
      <c r="B21" s="15">
        <f>MIN(H2:H16)</f>
        <v>58</v>
      </c>
      <c r="C21" s="10"/>
      <c r="J21" s="6"/>
    </row>
    <row r="22" spans="1:12" ht="14.25" customHeight="1" x14ac:dyDescent="0.3">
      <c r="A22" s="12" t="s">
        <v>52</v>
      </c>
      <c r="B22" s="15">
        <f>COUNTA(A2:A16)</f>
        <v>15</v>
      </c>
      <c r="C22" s="10"/>
    </row>
    <row r="23" spans="1:12" ht="14.25" customHeight="1" x14ac:dyDescent="0.3">
      <c r="A23" s="12" t="s">
        <v>53</v>
      </c>
      <c r="B23" s="15">
        <f>AVERAGE(I2:I16)</f>
        <v>90.13333333333334</v>
      </c>
      <c r="C23" s="10"/>
    </row>
    <row r="24" spans="1:12" ht="14.25" customHeight="1" x14ac:dyDescent="0.3">
      <c r="A24" s="13" t="s">
        <v>54</v>
      </c>
      <c r="B24" s="16" t="s">
        <v>76</v>
      </c>
      <c r="C24" s="10"/>
    </row>
    <row r="25" spans="1:12" ht="14.25" customHeight="1" x14ac:dyDescent="0.3">
      <c r="A25" s="13" t="s">
        <v>55</v>
      </c>
      <c r="B25" s="16" t="s">
        <v>76</v>
      </c>
      <c r="C25" s="10"/>
    </row>
    <row r="26" spans="1:12" ht="14.25" customHeight="1" x14ac:dyDescent="0.3">
      <c r="A26" s="13" t="s">
        <v>56</v>
      </c>
      <c r="B26" s="16" t="s">
        <v>76</v>
      </c>
      <c r="C26" s="10"/>
    </row>
    <row r="27" spans="1:12" ht="29.4" customHeight="1" x14ac:dyDescent="0.3">
      <c r="A27" s="13" t="s">
        <v>57</v>
      </c>
      <c r="B27" s="15">
        <f>SUMIF(D2:D16,"CSE",F2:F16)</f>
        <v>434</v>
      </c>
      <c r="C27" s="10"/>
    </row>
    <row r="28" spans="1:12" ht="14.25" customHeight="1" x14ac:dyDescent="0.3">
      <c r="A28" s="13" t="s">
        <v>58</v>
      </c>
      <c r="B28" s="15">
        <f>SUMIF(C2:C16,"Female",I2:I16)</f>
        <v>652</v>
      </c>
      <c r="C28" s="10"/>
    </row>
    <row r="29" spans="1:12" ht="14.25" customHeight="1" x14ac:dyDescent="0.3">
      <c r="A29" s="13" t="s">
        <v>59</v>
      </c>
      <c r="B29" s="15">
        <f>COUNTIF(D2:D16,"CSE")</f>
        <v>6</v>
      </c>
      <c r="C29" s="10"/>
    </row>
    <row r="30" spans="1:12" ht="14.25" customHeight="1" x14ac:dyDescent="0.3">
      <c r="A30" s="13" t="s">
        <v>60</v>
      </c>
      <c r="B30" s="15">
        <f>COUNTIF(E2:E16,"Chennai")</f>
        <v>8</v>
      </c>
      <c r="C30" s="10"/>
    </row>
    <row r="31" spans="1:12" ht="14.25" customHeight="1" x14ac:dyDescent="0.3">
      <c r="A31" s="13" t="s">
        <v>61</v>
      </c>
      <c r="B31" s="15">
        <f>COUNTIF(I2:I16,"&gt;90")</f>
        <v>8</v>
      </c>
      <c r="C31" s="10"/>
    </row>
    <row r="32" spans="1:12" ht="14.25" customHeight="1" x14ac:dyDescent="0.3">
      <c r="A32" s="13" t="s">
        <v>62</v>
      </c>
      <c r="B32" s="15">
        <f>AVERAGEIF(Table1[Gender],"Female",Table1[Maths])</f>
        <v>79.571428571428569</v>
      </c>
      <c r="C32" s="10"/>
    </row>
    <row r="33" spans="1:4" ht="14.25" customHeight="1" x14ac:dyDescent="0.3">
      <c r="A33" s="13" t="s">
        <v>63</v>
      </c>
      <c r="B33" s="15">
        <f>AVERAGEIF(Table1[Department],"IT",Table1[Science])</f>
        <v>84</v>
      </c>
      <c r="C33" s="10"/>
    </row>
    <row r="34" spans="1:4" ht="14.25" customHeight="1" x14ac:dyDescent="0.3">
      <c r="A34" s="13" t="s">
        <v>64</v>
      </c>
      <c r="B34" s="15" t="str">
        <f>LEFT(B15,5)</f>
        <v>Keert</v>
      </c>
      <c r="C34" s="10"/>
    </row>
    <row r="35" spans="1:4" ht="14.25" customHeight="1" x14ac:dyDescent="0.3">
      <c r="A35" s="13" t="s">
        <v>65</v>
      </c>
      <c r="B35" s="15" t="str">
        <f>RIGHT(B12,5)</f>
        <v>Kumar</v>
      </c>
      <c r="C35" s="10"/>
    </row>
    <row r="36" spans="1:4" ht="14.25" customHeight="1" x14ac:dyDescent="0.3">
      <c r="A36" s="13" t="s">
        <v>66</v>
      </c>
      <c r="B36" s="15" t="str">
        <f>MID(B15,3,4)</f>
        <v>erth</v>
      </c>
      <c r="C36" s="10"/>
    </row>
    <row r="37" spans="1:4" ht="14.25" customHeight="1" x14ac:dyDescent="0.3">
      <c r="A37" s="13" t="s">
        <v>67</v>
      </c>
      <c r="B37" s="16" t="s">
        <v>76</v>
      </c>
      <c r="C37" s="10"/>
    </row>
    <row r="38" spans="1:4" ht="14.25" customHeight="1" x14ac:dyDescent="0.3">
      <c r="A38" s="13" t="s">
        <v>68</v>
      </c>
      <c r="B38" s="16" t="s">
        <v>76</v>
      </c>
      <c r="C38" s="10"/>
      <c r="D38" s="5"/>
    </row>
    <row r="39" spans="1:4" ht="14.25" customHeight="1" x14ac:dyDescent="0.3">
      <c r="A39" s="13" t="s">
        <v>69</v>
      </c>
      <c r="B39" s="15" t="str">
        <f>PROPER("aRUN kumAR")</f>
        <v>Arun Kumar</v>
      </c>
      <c r="C39" s="10"/>
    </row>
    <row r="40" spans="1:4" ht="14.25" customHeight="1" x14ac:dyDescent="0.3"/>
    <row r="41" spans="1:4" ht="14.25" customHeight="1" x14ac:dyDescent="0.3"/>
    <row r="42" spans="1:4" ht="14.25" customHeight="1" x14ac:dyDescent="0.3"/>
    <row r="43" spans="1:4" ht="14.25" customHeight="1" x14ac:dyDescent="0.3"/>
    <row r="44" spans="1:4" ht="14.25" customHeight="1" x14ac:dyDescent="0.3"/>
    <row r="45" spans="1:4" ht="14.25" customHeight="1" x14ac:dyDescent="0.3"/>
    <row r="46" spans="1:4" ht="14.25" customHeight="1" x14ac:dyDescent="0.3"/>
    <row r="47" spans="1:4" ht="14.25" customHeight="1" x14ac:dyDescent="0.3"/>
    <row r="48" spans="1:4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customSheetViews>
    <customSheetView guid="{2253786C-9E77-4871-B225-90EE90B04701}" filter="1" showAutoFilter="1">
      <pageMargins left="0.7" right="0.7" top="0.75" bottom="0.75" header="0.3" footer="0.3"/>
      <autoFilter ref="A1:I16" xr:uid="{905CD1EE-81C9-455A-B4CC-8DC519C93E7E}"/>
      <extLst>
        <ext uri="GoogleSheetsCustomDataVersion1">
          <go:sheetsCustomData xmlns:go="http://customooxmlschemas.google.com/" filterViewId="1925870291"/>
        </ext>
      </extLst>
    </customSheetView>
  </customSheetViews>
  <phoneticPr fontId="9" type="noConversion"/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Ponnu Swamy P</dc:creator>
  <cp:lastModifiedBy>Kulandai yesu</cp:lastModifiedBy>
  <dcterms:created xsi:type="dcterms:W3CDTF">2026-09-09T06:49:30Z</dcterms:created>
  <dcterms:modified xsi:type="dcterms:W3CDTF">2026-09-11T08:26:24Z</dcterms:modified>
</cp:coreProperties>
</file>