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acelin deepa\Downloads\"/>
    </mc:Choice>
  </mc:AlternateContent>
  <xr:revisionPtr revIDLastSave="0" documentId="13_ncr:1_{B00D3CD6-C9DF-4630-94A3-3B6D2A0C3934}" xr6:coauthVersionLast="47" xr6:coauthVersionMax="47" xr10:uidLastSave="{00000000-0000-0000-0000-000000000000}"/>
  <bookViews>
    <workbookView xWindow="-108" yWindow="-108" windowWidth="23256" windowHeight="12456" activeTab="1" xr2:uid="{00000000-000D-0000-FFFF-FFFF00000000}"/>
  </bookViews>
  <sheets>
    <sheet name="Dataset" sheetId="1" r:id="rId1"/>
    <sheet name="Data Exploration" sheetId="2" r:id="rId2"/>
    <sheet name="Observatio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5" roundtripDataChecksum="hJb8T1ZghnA6qFS/bC5j8xshLTM/vtIaNva7vzkMTCI="/>
    </ext>
  </extLst>
</workbook>
</file>

<file path=xl/calcChain.xml><?xml version="1.0" encoding="utf-8"?>
<calcChain xmlns="http://schemas.openxmlformats.org/spreadsheetml/2006/main">
  <c r="B39" i="2" l="1"/>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2" i="2"/>
  <c r="I27" i="2"/>
  <c r="I28" i="2"/>
  <c r="I29" i="2"/>
  <c r="I30" i="2"/>
  <c r="I31" i="2"/>
  <c r="I32" i="2"/>
  <c r="I33" i="2"/>
  <c r="I34" i="2"/>
  <c r="I35" i="2"/>
  <c r="I3" i="2"/>
  <c r="I4" i="2"/>
  <c r="I5" i="2"/>
  <c r="I6" i="2"/>
  <c r="I7" i="2"/>
  <c r="I8" i="2"/>
  <c r="I9" i="2"/>
  <c r="I10" i="2"/>
  <c r="I11" i="2"/>
  <c r="I12" i="2"/>
  <c r="I13" i="2"/>
  <c r="I14" i="2"/>
  <c r="I15" i="2"/>
  <c r="I16" i="2"/>
  <c r="I17" i="2"/>
  <c r="I18" i="2"/>
  <c r="I19" i="2"/>
  <c r="I20" i="2"/>
  <c r="I21" i="2"/>
  <c r="I22" i="2"/>
  <c r="I23" i="2"/>
  <c r="I24" i="2"/>
  <c r="I25" i="2"/>
  <c r="I26"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2" i="2"/>
  <c r="B47" i="2"/>
  <c r="B46" i="2"/>
  <c r="G2" i="2"/>
  <c r="B44" i="2"/>
  <c r="B43" i="2"/>
  <c r="B41" i="2"/>
  <c r="B40" i="2"/>
</calcChain>
</file>

<file path=xl/sharedStrings.xml><?xml version="1.0" encoding="utf-8"?>
<sst xmlns="http://schemas.openxmlformats.org/spreadsheetml/2006/main" count="310" uniqueCount="119">
  <si>
    <t>Product ID</t>
  </si>
  <si>
    <t>Product Name</t>
  </si>
  <si>
    <t>Brand Name</t>
  </si>
  <si>
    <t>Price ($)</t>
  </si>
  <si>
    <t>Quantity</t>
  </si>
  <si>
    <t>Category</t>
  </si>
  <si>
    <t>28-JAN-US</t>
  </si>
  <si>
    <t>Laptop</t>
  </si>
  <si>
    <t>Dell</t>
  </si>
  <si>
    <t>Electronics</t>
  </si>
  <si>
    <t>15-FEB-US</t>
  </si>
  <si>
    <t>Sneakers</t>
  </si>
  <si>
    <t>Nike</t>
  </si>
  <si>
    <t>Fashion</t>
  </si>
  <si>
    <t>03-MAR-US</t>
  </si>
  <si>
    <t>Coffee Maker</t>
  </si>
  <si>
    <t>Keurig</t>
  </si>
  <si>
    <t>Kitchen</t>
  </si>
  <si>
    <t>11-APR-US</t>
  </si>
  <si>
    <t>Smartphone</t>
  </si>
  <si>
    <t>Samsung</t>
  </si>
  <si>
    <t>22-MAY-US</t>
  </si>
  <si>
    <t>Backpack</t>
  </si>
  <si>
    <t>North Face</t>
  </si>
  <si>
    <t>Outdoor</t>
  </si>
  <si>
    <t>07-JUN-UK</t>
  </si>
  <si>
    <t>Headphones</t>
  </si>
  <si>
    <t>Sony</t>
  </si>
  <si>
    <t>19-JUL-UK</t>
  </si>
  <si>
    <t>T-shirt</t>
  </si>
  <si>
    <t>Adidas</t>
  </si>
  <si>
    <t>23-AUG-UK</t>
  </si>
  <si>
    <t>Blender</t>
  </si>
  <si>
    <t>Ninja</t>
  </si>
  <si>
    <t>05-SEP-UK</t>
  </si>
  <si>
    <t>Tablet</t>
  </si>
  <si>
    <t>Apple</t>
  </si>
  <si>
    <t>14-OCT-UK</t>
  </si>
  <si>
    <t>Hiking Boots</t>
  </si>
  <si>
    <t>Timberland</t>
  </si>
  <si>
    <t>17-JUN-IN</t>
  </si>
  <si>
    <t>HP</t>
  </si>
  <si>
    <t>25-NOV-AU</t>
  </si>
  <si>
    <t>08-DEC-DE</t>
  </si>
  <si>
    <t>Nespresso</t>
  </si>
  <si>
    <t>18-FEB-CA</t>
  </si>
  <si>
    <t>Smartwatch</t>
  </si>
  <si>
    <t>Fitbit</t>
  </si>
  <si>
    <t>16-APR-ES</t>
  </si>
  <si>
    <t>Bose</t>
  </si>
  <si>
    <t>21-AUG-CA</t>
  </si>
  <si>
    <t>Laptop Bag</t>
  </si>
  <si>
    <t>Samsonite</t>
  </si>
  <si>
    <t>Accessories</t>
  </si>
  <si>
    <t>20-AUG-CN</t>
  </si>
  <si>
    <t>Huawei</t>
  </si>
  <si>
    <t>27-JAN-IT</t>
  </si>
  <si>
    <t>Asus</t>
  </si>
  <si>
    <t>01-MAR-UK</t>
  </si>
  <si>
    <t>Sunglasses</t>
  </si>
  <si>
    <t>Oakley</t>
  </si>
  <si>
    <t>14-AUG-US</t>
  </si>
  <si>
    <t>Camping Tent</t>
  </si>
  <si>
    <t>Coleman</t>
  </si>
  <si>
    <t>14-MAY-RU</t>
  </si>
  <si>
    <t>Camera</t>
  </si>
  <si>
    <t>Nikon</t>
  </si>
  <si>
    <t>09-JAN-CA</t>
  </si>
  <si>
    <t>Microwave</t>
  </si>
  <si>
    <t>Panasonic</t>
  </si>
  <si>
    <t>19-JUL-BR</t>
  </si>
  <si>
    <t>Fitness Tracker</t>
  </si>
  <si>
    <t>Xiaomi</t>
  </si>
  <si>
    <t>29-SEP-CA</t>
  </si>
  <si>
    <t>Google</t>
  </si>
  <si>
    <t>03-JUN-CA</t>
  </si>
  <si>
    <t>Ray-Ban</t>
  </si>
  <si>
    <t>11-JUL-CA</t>
  </si>
  <si>
    <t>Vitamix</t>
  </si>
  <si>
    <t>07-MAR-CA</t>
  </si>
  <si>
    <t>Dress</t>
  </si>
  <si>
    <t>Zara</t>
  </si>
  <si>
    <t>13-APR-CA</t>
  </si>
  <si>
    <t>Toaster</t>
  </si>
  <si>
    <t>Hamilton</t>
  </si>
  <si>
    <t>24-MAY-CA</t>
  </si>
  <si>
    <t>Garmin</t>
  </si>
  <si>
    <t>02-DEC-CA</t>
  </si>
  <si>
    <t>Jeans</t>
  </si>
  <si>
    <t>Levi's</t>
  </si>
  <si>
    <t>09-JUL-FR</t>
  </si>
  <si>
    <t>Watch</t>
  </si>
  <si>
    <t>Casio</t>
  </si>
  <si>
    <t>total price of all products</t>
  </si>
  <si>
    <t>how many products exist in the dataset.</t>
  </si>
  <si>
    <t>average price of the products.</t>
  </si>
  <si>
    <t>Minimum price</t>
  </si>
  <si>
    <t>Maximum price</t>
  </si>
  <si>
    <t>Price Range</t>
  </si>
  <si>
    <t>total price of products in the Electronics category.</t>
  </si>
  <si>
    <t>number of products with a price less than $100.</t>
  </si>
  <si>
    <t>Sum,Count,Average</t>
  </si>
  <si>
    <t>Min,Max</t>
  </si>
  <si>
    <t>Sumif, Countif</t>
  </si>
  <si>
    <t>Day</t>
  </si>
  <si>
    <t>Country_code</t>
  </si>
  <si>
    <t>Month</t>
  </si>
  <si>
    <t>Steps I have done</t>
  </si>
  <si>
    <t>using AVERAGE() function ,I have calculate the average price of products</t>
  </si>
  <si>
    <t>using MIN() and MAX( ) function calculated the minimum and maximum price among products</t>
  </si>
  <si>
    <t>I have created new column as price range, where I used if() condition where if price is greater than equal to 500 it should be named as high price and if price is lower than 500 it should be named as standard price</t>
  </si>
  <si>
    <t>I have calculated sum for specific category using sumif() function</t>
  </si>
  <si>
    <t>I have counted the number of products where price is less than 100 using countif</t>
  </si>
  <si>
    <t>using SUM() function I have calculated the total price of all products</t>
  </si>
  <si>
    <t>using COUNT() I have counted how many products are available</t>
  </si>
  <si>
    <t>I have created new column as Day where using LEFT() function , only first 2 characters from prioduct id will be printed in Day column</t>
  </si>
  <si>
    <t>I have created new column as Country Code where using RIGHT() function , only last 2 characters from product id will be printed in Country code column</t>
  </si>
  <si>
    <t>I have created new column as Month where using MID() function ,from 4th to 6 th characters from product id will be printed in month column</t>
  </si>
  <si>
    <t>Result are in data exploration sheet from 38 row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</si>
</sst>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7" x14ac:knownFonts="1">
    <font>
      <sz val="10"/>
      <color rgb="FF000000"/>
      <name val="Arial"/>
      <scheme val="minor"/>
    </font>
    <font>
      <b/>
      <sz val="10"/>
      <color theme="1"/>
      <name val="Arial"/>
    </font>
    <font>
      <sz val="10"/>
      <color theme="1"/>
      <name val="Arial"/>
    </font>
    <font>
      <sz val="10"/>
      <color rgb="FF000000"/>
      <name val="Arial"/>
      <family val="2"/>
      <scheme val="minor"/>
    </font>
    <font>
      <b/>
      <sz val="10"/>
      <color theme="1"/>
      <name val="Arial"/>
      <family val="2"/>
    </font>
    <font>
      <b/>
      <sz val="10"/>
      <color rgb="FF000000"/>
      <name val="Arial"/>
      <family val="2"/>
      <scheme val="minor"/>
    </font>
    <font>
      <b/>
      <sz val="10"/>
      <color rgb="FF000000"/>
      <name val="Calibri"/>
      <family val="2"/>
    </font>
  </fonts>
  <fills count="6">
    <fill>
      <patternFill patternType="none"/>
    </fill>
    <fill>
      <patternFill patternType="gray125"/>
    </fill>
    <fill>
      <patternFill patternType="solid">
        <fgColor rgb="FF4DD0E1"/>
        <bgColor rgb="FF4DD0E1"/>
      </patternFill>
    </fill>
    <fill>
      <patternFill patternType="solid">
        <fgColor rgb="FFE0F7FA"/>
        <bgColor rgb="FFE0F7FA"/>
      </patternFill>
    </fill>
    <fill>
      <patternFill patternType="solid">
        <fgColor rgb="FFFFFFFF"/>
        <bgColor rgb="FFFFFFFF"/>
      </patternFill>
    </fill>
    <fill>
      <patternFill patternType="solid">
        <fgColor theme="4"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3">
    <xf numFmtId="0" fontId="0" fillId="0" borderId="0" xfId="0"/>
    <xf numFmtId="0" fontId="1" fillId="2" borderId="0" xfId="0" applyFont="1" applyFill="1" applyAlignment="1">
      <alignment horizontal="center"/>
    </xf>
    <xf numFmtId="0" fontId="1" fillId="0" borderId="0" xfId="0" applyFont="1" applyAlignment="1">
      <alignment horizontal="center"/>
    </xf>
    <xf numFmtId="0" fontId="2" fillId="0" borderId="0" xfId="0" applyFont="1"/>
    <xf numFmtId="0" fontId="2" fillId="3" borderId="0" xfId="0" applyFont="1" applyFill="1"/>
    <xf numFmtId="0" fontId="2" fillId="4" borderId="0" xfId="0" applyFont="1" applyFill="1"/>
    <xf numFmtId="0" fontId="1" fillId="2" borderId="0" xfId="0" applyFont="1" applyFill="1" applyAlignment="1">
      <alignment horizontal="center" vertical="center"/>
    </xf>
    <xf numFmtId="0" fontId="2" fillId="0" borderId="0" xfId="0" applyFont="1" applyAlignment="1">
      <alignment vertical="center"/>
    </xf>
    <xf numFmtId="0" fontId="2" fillId="3" borderId="0" xfId="0" applyFont="1" applyFill="1" applyAlignment="1">
      <alignment vertical="center"/>
    </xf>
    <xf numFmtId="0" fontId="3" fillId="0" borderId="0" xfId="0" applyFont="1"/>
    <xf numFmtId="164" fontId="2" fillId="0" borderId="0" xfId="0" applyNumberFormat="1" applyFont="1" applyAlignment="1">
      <alignment vertical="center"/>
    </xf>
    <xf numFmtId="164" fontId="2" fillId="3" borderId="0" xfId="0" applyNumberFormat="1" applyFont="1" applyFill="1" applyAlignment="1">
      <alignment vertical="center"/>
    </xf>
    <xf numFmtId="164" fontId="0" fillId="0" borderId="0" xfId="0" applyNumberFormat="1"/>
    <xf numFmtId="0" fontId="0" fillId="0" borderId="1" xfId="0" applyBorder="1" applyAlignment="1">
      <alignment wrapText="1"/>
    </xf>
    <xf numFmtId="0" fontId="3" fillId="0" borderId="1" xfId="0" applyFont="1" applyBorder="1" applyAlignment="1">
      <alignment wrapText="1"/>
    </xf>
    <xf numFmtId="0" fontId="4" fillId="2" borderId="0" xfId="0" applyFont="1" applyFill="1" applyAlignment="1">
      <alignment horizontal="center" vertical="center"/>
    </xf>
    <xf numFmtId="0" fontId="5" fillId="0" borderId="1" xfId="0" applyFont="1" applyBorder="1" applyAlignment="1">
      <alignment wrapText="1"/>
    </xf>
    <xf numFmtId="0" fontId="4" fillId="2" borderId="0" xfId="0" applyFont="1" applyFill="1" applyAlignment="1">
      <alignment horizontal="right" vertical="center"/>
    </xf>
    <xf numFmtId="0" fontId="2" fillId="0" borderId="0" xfId="0" applyFont="1" applyAlignment="1">
      <alignment horizontal="right" vertical="center"/>
    </xf>
    <xf numFmtId="0" fontId="2" fillId="3" borderId="0" xfId="0" applyFont="1" applyFill="1" applyAlignment="1">
      <alignment horizontal="right" vertical="center"/>
    </xf>
    <xf numFmtId="0" fontId="0" fillId="0" borderId="0" xfId="0" applyAlignment="1">
      <alignment horizontal="right" vertical="center"/>
    </xf>
    <xf numFmtId="0" fontId="0" fillId="0" borderId="0" xfId="0" applyAlignment="1">
      <alignment horizontal="right"/>
    </xf>
    <xf numFmtId="0" fontId="2" fillId="0" borderId="0" xfId="0" applyFont="1" applyAlignment="1">
      <alignment horizontal="center" vertical="center"/>
    </xf>
    <xf numFmtId="0" fontId="2" fillId="3" borderId="0" xfId="0" applyFont="1" applyFill="1" applyAlignment="1">
      <alignment horizontal="center" vertical="center"/>
    </xf>
    <xf numFmtId="0" fontId="0" fillId="0" borderId="0" xfId="0" applyAlignment="1">
      <alignment horizontal="center"/>
    </xf>
    <xf numFmtId="0" fontId="6" fillId="0" borderId="0" xfId="0" applyFont="1" applyAlignment="1">
      <alignment wrapText="1"/>
    </xf>
    <xf numFmtId="0" fontId="0" fillId="0" borderId="0" xfId="0" applyAlignment="1">
      <alignment wrapText="1"/>
    </xf>
    <xf numFmtId="0" fontId="3" fillId="0" borderId="0" xfId="0" applyFont="1" applyAlignment="1">
      <alignment wrapText="1"/>
    </xf>
    <xf numFmtId="0" fontId="0" fillId="0" borderId="0" xfId="0" applyAlignment="1">
      <alignment horizontal="left" vertical="top"/>
    </xf>
    <xf numFmtId="164" fontId="0" fillId="0" borderId="1" xfId="0" applyNumberFormat="1" applyBorder="1" applyAlignment="1">
      <alignment horizontal="right" wrapText="1"/>
    </xf>
    <xf numFmtId="0" fontId="0" fillId="0" borderId="1" xfId="0" applyBorder="1" applyAlignment="1">
      <alignment horizontal="right" wrapText="1"/>
    </xf>
    <xf numFmtId="0" fontId="0" fillId="5" borderId="0" xfId="0" applyFill="1"/>
    <xf numFmtId="0" fontId="5" fillId="0" borderId="0" xfId="0" applyFont="1" applyAlignment="1">
      <alignment wrapText="1"/>
    </xf>
  </cellXfs>
  <cellStyles count="1">
    <cellStyle name="Normal" xfId="0" builtinId="0"/>
  </cellStyles>
  <dxfs count="10">
    <dxf>
      <font>
        <b val="0"/>
        <i val="0"/>
        <strike val="0"/>
        <condense val="0"/>
        <extend val="0"/>
        <outline val="0"/>
        <shadow val="0"/>
        <u val="none"/>
        <vertAlign val="baseline"/>
        <sz val="10"/>
        <color theme="1"/>
        <name val="Arial"/>
        <scheme val="none"/>
      </font>
      <fill>
        <patternFill patternType="solid">
          <fgColor rgb="FFE0F7FA"/>
          <bgColor rgb="FFE0F7FA"/>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none"/>
      </font>
      <fill>
        <patternFill patternType="solid">
          <fgColor rgb="FFE0F7FA"/>
          <bgColor rgb="FFE0F7FA"/>
        </patternFill>
      </fill>
      <alignment horizontal="right" vertical="center" textRotation="0" wrapText="0" indent="0" justifyLastLine="0" shrinkToFit="0" readingOrder="0"/>
    </dxf>
    <dxf>
      <font>
        <b val="0"/>
        <i val="0"/>
        <strike val="0"/>
        <condense val="0"/>
        <extend val="0"/>
        <outline val="0"/>
        <shadow val="0"/>
        <u val="none"/>
        <vertAlign val="baseline"/>
        <sz val="10"/>
        <color theme="1"/>
        <name val="Arial"/>
        <scheme val="none"/>
      </font>
      <fill>
        <patternFill patternType="solid">
          <fgColor rgb="FFE0F7FA"/>
          <bgColor rgb="FFE0F7FA"/>
        </patternFill>
      </fill>
      <alignment horizontal="right" vertical="center" textRotation="0" wrapText="0" indent="0" justifyLastLine="0" shrinkToFit="0" readingOrder="0"/>
    </dxf>
    <dxf>
      <font>
        <b val="0"/>
        <i val="0"/>
        <strike val="0"/>
        <condense val="0"/>
        <extend val="0"/>
        <outline val="0"/>
        <shadow val="0"/>
        <u val="none"/>
        <vertAlign val="baseline"/>
        <sz val="10"/>
        <color theme="1"/>
        <name val="Arial"/>
        <scheme val="none"/>
      </font>
      <fill>
        <patternFill patternType="solid">
          <fgColor rgb="FFE0F7FA"/>
          <bgColor rgb="FFE0F7FA"/>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fill>
        <patternFill patternType="solid">
          <fgColor rgb="FFE0F7FA"/>
          <bgColor rgb="FFE0F7FA"/>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fill>
        <patternFill patternType="solid">
          <fgColor rgb="FFE0F7FA"/>
          <bgColor rgb="FFE0F7FA"/>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numFmt numFmtId="164" formatCode="&quot;₹&quot;\ #,##0.00"/>
      <fill>
        <patternFill patternType="solid">
          <fgColor rgb="FFE0F7FA"/>
          <bgColor rgb="FFE0F7FA"/>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fill>
        <patternFill patternType="solid">
          <fgColor rgb="FFE0F7FA"/>
          <bgColor rgb="FFE0F7FA"/>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fill>
        <patternFill patternType="solid">
          <fgColor rgb="FFE0F7FA"/>
          <bgColor rgb="FFE0F7FA"/>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fill>
        <patternFill patternType="solid">
          <fgColor rgb="FFE0F7FA"/>
          <bgColor rgb="FFE0F7FA"/>
        </patternFill>
      </fill>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0B1B98E-5E2E-4B33-B28B-15224422F64B}" name="Table3" displayName="Table3" ref="A1:J35" totalsRowShown="0">
  <autoFilter ref="A1:J35" xr:uid="{A0B1B98E-5E2E-4B33-B28B-15224422F64B}"/>
  <tableColumns count="10">
    <tableColumn id="1" xr3:uid="{DAC01424-70C3-41F7-A2F7-614507FABB69}" name="Product ID" dataDxfId="9"/>
    <tableColumn id="2" xr3:uid="{AEF8C6C5-BFCF-4DF1-8781-DEADAC402C9D}" name="Product Name" dataDxfId="8"/>
    <tableColumn id="3" xr3:uid="{41166BC7-6D91-4D94-83A8-07BD3C1CE733}" name="Brand Name" dataDxfId="7"/>
    <tableColumn id="4" xr3:uid="{947D6361-5B41-4014-BABB-74634B6E0C27}" name="Price ($)" dataDxfId="6"/>
    <tableColumn id="5" xr3:uid="{EB206181-AB7C-4A5A-A7F6-D6D9ED0AAA79}" name="Quantity" dataDxfId="5"/>
    <tableColumn id="6" xr3:uid="{95A4BF35-5587-4205-BED4-582382FB3D0A}" name="Category" dataDxfId="4"/>
    <tableColumn id="7" xr3:uid="{6DD68A88-F02E-467E-9542-6C58BF8AB01E}" name="Price Range" dataDxfId="3">
      <calculatedColumnFormula>IF(D2&gt;=500,"High Price","standard price")</calculatedColumnFormula>
    </tableColumn>
    <tableColumn id="8" xr3:uid="{FF4564BC-92B6-4CB7-85AB-A6F39FA91459}" name="Day" dataDxfId="2">
      <calculatedColumnFormula>LEFT(A2,2)</calculatedColumnFormula>
    </tableColumn>
    <tableColumn id="9" xr3:uid="{3303A6AC-EB3D-4664-95AF-7E7FB29F79CB}" name="Country_code" dataDxfId="1">
      <calculatedColumnFormula>RIGHT(A2,2)</calculatedColumnFormula>
    </tableColumn>
    <tableColumn id="10" xr3:uid="{97ADD1A5-FB18-4300-A3CE-218700A14A18}" name="Month" dataDxfId="0">
      <calculatedColumnFormula>MID(A2,4,3)</calculatedColumnFormula>
    </tableColumn>
  </tableColumns>
  <tableStyleInfo name="TableStyleLight14"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G1000"/>
  <sheetViews>
    <sheetView workbookViewId="0">
      <selection activeCell="C1" sqref="C1"/>
    </sheetView>
  </sheetViews>
  <sheetFormatPr defaultColWidth="12.6640625" defaultRowHeight="15" customHeight="1" x14ac:dyDescent="0.25"/>
  <cols>
    <col min="2" max="2" width="14.109375" customWidth="1"/>
  </cols>
  <sheetData>
    <row r="1" spans="1:7" ht="15.75" customHeight="1" x14ac:dyDescent="0.25">
      <c r="A1" s="1" t="s">
        <v>0</v>
      </c>
      <c r="B1" s="1" t="s">
        <v>1</v>
      </c>
      <c r="C1" s="1" t="s">
        <v>2</v>
      </c>
      <c r="D1" s="1" t="s">
        <v>3</v>
      </c>
      <c r="E1" s="1" t="s">
        <v>4</v>
      </c>
      <c r="F1" s="1" t="s">
        <v>5</v>
      </c>
      <c r="G1" s="2"/>
    </row>
    <row r="2" spans="1:7" ht="15.75" customHeight="1" x14ac:dyDescent="0.25">
      <c r="A2" s="3" t="s">
        <v>6</v>
      </c>
      <c r="B2" s="3" t="s">
        <v>7</v>
      </c>
      <c r="C2" s="3" t="s">
        <v>8</v>
      </c>
      <c r="D2" s="3">
        <v>1000</v>
      </c>
      <c r="E2" s="3">
        <v>30</v>
      </c>
      <c r="F2" s="3" t="s">
        <v>9</v>
      </c>
      <c r="G2" s="3"/>
    </row>
    <row r="3" spans="1:7" ht="15.75" customHeight="1" x14ac:dyDescent="0.25">
      <c r="A3" s="4" t="s">
        <v>10</v>
      </c>
      <c r="B3" s="4" t="s">
        <v>11</v>
      </c>
      <c r="C3" s="4" t="s">
        <v>12</v>
      </c>
      <c r="D3" s="4">
        <v>80</v>
      </c>
      <c r="E3" s="4">
        <v>15</v>
      </c>
      <c r="F3" s="4" t="s">
        <v>13</v>
      </c>
      <c r="G3" s="3"/>
    </row>
    <row r="4" spans="1:7" ht="15.75" customHeight="1" x14ac:dyDescent="0.25">
      <c r="A4" s="3" t="s">
        <v>14</v>
      </c>
      <c r="B4" s="3" t="s">
        <v>15</v>
      </c>
      <c r="C4" s="3" t="s">
        <v>16</v>
      </c>
      <c r="D4" s="3">
        <v>130</v>
      </c>
      <c r="E4" s="3">
        <v>40</v>
      </c>
      <c r="F4" s="3" t="s">
        <v>17</v>
      </c>
      <c r="G4" s="3"/>
    </row>
    <row r="5" spans="1:7" ht="15.75" customHeight="1" x14ac:dyDescent="0.25">
      <c r="A5" s="4" t="s">
        <v>18</v>
      </c>
      <c r="B5" s="4" t="s">
        <v>19</v>
      </c>
      <c r="C5" s="4" t="s">
        <v>20</v>
      </c>
      <c r="D5" s="4">
        <v>900</v>
      </c>
      <c r="E5" s="4">
        <v>25</v>
      </c>
      <c r="F5" s="4" t="s">
        <v>9</v>
      </c>
      <c r="G5" s="3"/>
    </row>
    <row r="6" spans="1:7" ht="15.75" customHeight="1" x14ac:dyDescent="0.25">
      <c r="A6" s="3" t="s">
        <v>21</v>
      </c>
      <c r="B6" s="3" t="s">
        <v>22</v>
      </c>
      <c r="C6" s="3" t="s">
        <v>23</v>
      </c>
      <c r="D6" s="3">
        <v>70</v>
      </c>
      <c r="E6" s="3">
        <v>20</v>
      </c>
      <c r="F6" s="3" t="s">
        <v>24</v>
      </c>
      <c r="G6" s="3"/>
    </row>
    <row r="7" spans="1:7" ht="15.75" customHeight="1" x14ac:dyDescent="0.25">
      <c r="A7" s="4" t="s">
        <v>25</v>
      </c>
      <c r="B7" s="4" t="s">
        <v>26</v>
      </c>
      <c r="C7" s="4" t="s">
        <v>27</v>
      </c>
      <c r="D7" s="4">
        <v>200</v>
      </c>
      <c r="E7" s="4">
        <v>45</v>
      </c>
      <c r="F7" s="4" t="s">
        <v>9</v>
      </c>
      <c r="G7" s="3"/>
    </row>
    <row r="8" spans="1:7" ht="15.75" customHeight="1" x14ac:dyDescent="0.25">
      <c r="A8" s="3" t="s">
        <v>28</v>
      </c>
      <c r="B8" s="3" t="s">
        <v>29</v>
      </c>
      <c r="C8" s="3" t="s">
        <v>30</v>
      </c>
      <c r="D8" s="3">
        <v>30</v>
      </c>
      <c r="E8" s="3">
        <v>5</v>
      </c>
      <c r="F8" s="3" t="s">
        <v>13</v>
      </c>
      <c r="G8" s="3"/>
    </row>
    <row r="9" spans="1:7" ht="15.75" customHeight="1" x14ac:dyDescent="0.25">
      <c r="A9" s="4" t="s">
        <v>31</v>
      </c>
      <c r="B9" s="4" t="s">
        <v>32</v>
      </c>
      <c r="C9" s="4" t="s">
        <v>33</v>
      </c>
      <c r="D9" s="4">
        <v>90</v>
      </c>
      <c r="E9" s="4">
        <v>35</v>
      </c>
      <c r="F9" s="4" t="s">
        <v>17</v>
      </c>
      <c r="G9" s="3"/>
    </row>
    <row r="10" spans="1:7" ht="15.75" customHeight="1" x14ac:dyDescent="0.25">
      <c r="A10" s="3" t="s">
        <v>34</v>
      </c>
      <c r="B10" s="3" t="s">
        <v>35</v>
      </c>
      <c r="C10" s="3" t="s">
        <v>36</v>
      </c>
      <c r="D10" s="3">
        <v>500</v>
      </c>
      <c r="E10" s="3">
        <v>50</v>
      </c>
      <c r="F10" s="3" t="s">
        <v>9</v>
      </c>
      <c r="G10" s="3"/>
    </row>
    <row r="11" spans="1:7" ht="15.75" customHeight="1" x14ac:dyDescent="0.25">
      <c r="A11" s="4" t="s">
        <v>37</v>
      </c>
      <c r="B11" s="4" t="s">
        <v>38</v>
      </c>
      <c r="C11" s="4" t="s">
        <v>39</v>
      </c>
      <c r="D11" s="4">
        <v>130</v>
      </c>
      <c r="E11" s="4">
        <v>10</v>
      </c>
      <c r="F11" s="4" t="s">
        <v>24</v>
      </c>
      <c r="G11" s="3"/>
    </row>
    <row r="12" spans="1:7" ht="15.75" customHeight="1" x14ac:dyDescent="0.25">
      <c r="A12" s="3" t="s">
        <v>40</v>
      </c>
      <c r="B12" s="3" t="s">
        <v>7</v>
      </c>
      <c r="C12" s="3" t="s">
        <v>41</v>
      </c>
      <c r="D12" s="3">
        <v>950</v>
      </c>
      <c r="E12" s="3">
        <v>25</v>
      </c>
      <c r="F12" s="3" t="s">
        <v>9</v>
      </c>
      <c r="G12" s="3"/>
    </row>
    <row r="13" spans="1:7" ht="15.75" customHeight="1" x14ac:dyDescent="0.25">
      <c r="A13" s="4" t="s">
        <v>42</v>
      </c>
      <c r="B13" s="4" t="s">
        <v>11</v>
      </c>
      <c r="C13" s="4" t="s">
        <v>30</v>
      </c>
      <c r="D13" s="4">
        <v>90</v>
      </c>
      <c r="E13" s="4">
        <v>40</v>
      </c>
      <c r="F13" s="4" t="s">
        <v>13</v>
      </c>
      <c r="G13" s="3"/>
    </row>
    <row r="14" spans="1:7" ht="15.75" customHeight="1" x14ac:dyDescent="0.25">
      <c r="A14" s="3" t="s">
        <v>43</v>
      </c>
      <c r="B14" s="3" t="s">
        <v>15</v>
      </c>
      <c r="C14" s="3" t="s">
        <v>44</v>
      </c>
      <c r="D14" s="3">
        <v>120</v>
      </c>
      <c r="E14" s="3">
        <v>35</v>
      </c>
      <c r="F14" s="3" t="s">
        <v>17</v>
      </c>
      <c r="G14" s="3"/>
    </row>
    <row r="15" spans="1:7" ht="15.75" customHeight="1" x14ac:dyDescent="0.25">
      <c r="A15" s="4" t="s">
        <v>45</v>
      </c>
      <c r="B15" s="4" t="s">
        <v>46</v>
      </c>
      <c r="C15" s="4" t="s">
        <v>47</v>
      </c>
      <c r="D15" s="4">
        <v>150</v>
      </c>
      <c r="E15" s="4">
        <v>15</v>
      </c>
      <c r="F15" s="4" t="s">
        <v>9</v>
      </c>
      <c r="G15" s="3"/>
    </row>
    <row r="16" spans="1:7" ht="15.75" customHeight="1" x14ac:dyDescent="0.25">
      <c r="A16" s="3" t="s">
        <v>48</v>
      </c>
      <c r="B16" s="3" t="s">
        <v>26</v>
      </c>
      <c r="C16" s="3" t="s">
        <v>49</v>
      </c>
      <c r="D16" s="3">
        <v>250</v>
      </c>
      <c r="E16" s="3">
        <v>20</v>
      </c>
      <c r="F16" s="3" t="s">
        <v>9</v>
      </c>
      <c r="G16" s="3"/>
    </row>
    <row r="17" spans="1:7" ht="15.75" customHeight="1" x14ac:dyDescent="0.25">
      <c r="A17" s="4" t="s">
        <v>50</v>
      </c>
      <c r="B17" s="4" t="s">
        <v>51</v>
      </c>
      <c r="C17" s="4" t="s">
        <v>52</v>
      </c>
      <c r="D17" s="4">
        <v>50</v>
      </c>
      <c r="E17" s="4">
        <v>35</v>
      </c>
      <c r="F17" s="4" t="s">
        <v>53</v>
      </c>
      <c r="G17" s="3"/>
    </row>
    <row r="18" spans="1:7" ht="15.75" customHeight="1" x14ac:dyDescent="0.25">
      <c r="A18" s="3" t="s">
        <v>54</v>
      </c>
      <c r="B18" s="3" t="s">
        <v>46</v>
      </c>
      <c r="C18" s="3" t="s">
        <v>55</v>
      </c>
      <c r="D18" s="3">
        <v>160</v>
      </c>
      <c r="E18" s="3">
        <v>15</v>
      </c>
      <c r="F18" s="3" t="s">
        <v>9</v>
      </c>
      <c r="G18" s="3"/>
    </row>
    <row r="19" spans="1:7" ht="15.75" customHeight="1" x14ac:dyDescent="0.25">
      <c r="A19" s="4" t="s">
        <v>56</v>
      </c>
      <c r="B19" s="4" t="s">
        <v>7</v>
      </c>
      <c r="C19" s="4" t="s">
        <v>57</v>
      </c>
      <c r="D19" s="4">
        <v>980</v>
      </c>
      <c r="E19" s="4">
        <v>10</v>
      </c>
      <c r="F19" s="4" t="s">
        <v>9</v>
      </c>
      <c r="G19" s="3"/>
    </row>
    <row r="20" spans="1:7" ht="15.75" customHeight="1" x14ac:dyDescent="0.25">
      <c r="A20" s="3" t="s">
        <v>58</v>
      </c>
      <c r="B20" s="3" t="s">
        <v>59</v>
      </c>
      <c r="C20" s="3" t="s">
        <v>60</v>
      </c>
      <c r="D20" s="3">
        <v>150</v>
      </c>
      <c r="E20" s="3">
        <v>15</v>
      </c>
      <c r="F20" s="3" t="s">
        <v>13</v>
      </c>
      <c r="G20" s="3"/>
    </row>
    <row r="21" spans="1:7" ht="15.75" customHeight="1" x14ac:dyDescent="0.25">
      <c r="A21" s="4" t="s">
        <v>61</v>
      </c>
      <c r="B21" s="4" t="s">
        <v>62</v>
      </c>
      <c r="C21" s="4" t="s">
        <v>63</v>
      </c>
      <c r="D21" s="4">
        <v>200</v>
      </c>
      <c r="E21" s="4">
        <v>10</v>
      </c>
      <c r="F21" s="4" t="s">
        <v>24</v>
      </c>
      <c r="G21" s="3"/>
    </row>
    <row r="22" spans="1:7" ht="15.75" customHeight="1" x14ac:dyDescent="0.25">
      <c r="A22" s="3" t="s">
        <v>64</v>
      </c>
      <c r="B22" s="3" t="s">
        <v>65</v>
      </c>
      <c r="C22" s="3" t="s">
        <v>66</v>
      </c>
      <c r="D22" s="3">
        <v>700</v>
      </c>
      <c r="E22" s="3">
        <v>50</v>
      </c>
      <c r="F22" s="3" t="s">
        <v>9</v>
      </c>
      <c r="G22" s="3"/>
    </row>
    <row r="23" spans="1:7" ht="15.75" customHeight="1" x14ac:dyDescent="0.25">
      <c r="A23" s="4" t="s">
        <v>67</v>
      </c>
      <c r="B23" s="4" t="s">
        <v>68</v>
      </c>
      <c r="C23" s="4" t="s">
        <v>69</v>
      </c>
      <c r="D23" s="4">
        <v>80</v>
      </c>
      <c r="E23" s="4">
        <v>20</v>
      </c>
      <c r="F23" s="4" t="s">
        <v>17</v>
      </c>
      <c r="G23" s="3"/>
    </row>
    <row r="24" spans="1:7" ht="15.75" customHeight="1" x14ac:dyDescent="0.25">
      <c r="A24" s="3" t="s">
        <v>70</v>
      </c>
      <c r="B24" s="3" t="s">
        <v>71</v>
      </c>
      <c r="C24" s="3" t="s">
        <v>72</v>
      </c>
      <c r="D24" s="3">
        <v>150</v>
      </c>
      <c r="E24" s="3">
        <v>30</v>
      </c>
      <c r="F24" s="3" t="s">
        <v>9</v>
      </c>
      <c r="G24" s="3"/>
    </row>
    <row r="25" spans="1:7" ht="15.75" customHeight="1" x14ac:dyDescent="0.25">
      <c r="A25" s="4" t="s">
        <v>50</v>
      </c>
      <c r="B25" s="4" t="s">
        <v>51</v>
      </c>
      <c r="C25" s="4" t="s">
        <v>52</v>
      </c>
      <c r="D25" s="4">
        <v>50</v>
      </c>
      <c r="E25" s="4">
        <v>35</v>
      </c>
      <c r="F25" s="4" t="s">
        <v>53</v>
      </c>
      <c r="G25" s="5"/>
    </row>
    <row r="26" spans="1:7" ht="15.75" customHeight="1" x14ac:dyDescent="0.25">
      <c r="A26" s="3" t="s">
        <v>73</v>
      </c>
      <c r="B26" s="3" t="s">
        <v>19</v>
      </c>
      <c r="C26" s="3" t="s">
        <v>74</v>
      </c>
      <c r="D26" s="3">
        <v>800</v>
      </c>
      <c r="E26" s="3">
        <v>45</v>
      </c>
      <c r="F26" s="3" t="s">
        <v>9</v>
      </c>
      <c r="G26" s="3"/>
    </row>
    <row r="27" spans="1:7" ht="15.75" customHeight="1" x14ac:dyDescent="0.25">
      <c r="A27" s="4" t="s">
        <v>75</v>
      </c>
      <c r="B27" s="4" t="s">
        <v>59</v>
      </c>
      <c r="C27" s="4" t="s">
        <v>76</v>
      </c>
      <c r="D27" s="4">
        <v>130</v>
      </c>
      <c r="E27" s="4">
        <v>25</v>
      </c>
      <c r="F27" s="4" t="s">
        <v>13</v>
      </c>
      <c r="G27" s="3"/>
    </row>
    <row r="28" spans="1:7" ht="15.75" customHeight="1" x14ac:dyDescent="0.25">
      <c r="A28" s="3" t="s">
        <v>77</v>
      </c>
      <c r="B28" s="3" t="s">
        <v>32</v>
      </c>
      <c r="C28" s="3" t="s">
        <v>78</v>
      </c>
      <c r="D28" s="3">
        <v>400</v>
      </c>
      <c r="E28" s="3">
        <v>40</v>
      </c>
      <c r="F28" s="3" t="s">
        <v>17</v>
      </c>
      <c r="G28" s="3"/>
    </row>
    <row r="29" spans="1:7" ht="15.75" customHeight="1" x14ac:dyDescent="0.25">
      <c r="A29" s="4" t="s">
        <v>48</v>
      </c>
      <c r="B29" s="4" t="s">
        <v>26</v>
      </c>
      <c r="C29" s="4" t="s">
        <v>49</v>
      </c>
      <c r="D29" s="4">
        <v>230</v>
      </c>
      <c r="E29" s="4">
        <v>20</v>
      </c>
      <c r="F29" s="4" t="s">
        <v>9</v>
      </c>
      <c r="G29" s="5"/>
    </row>
    <row r="30" spans="1:7" ht="15.75" customHeight="1" x14ac:dyDescent="0.25">
      <c r="A30" s="3" t="s">
        <v>79</v>
      </c>
      <c r="B30" s="3" t="s">
        <v>80</v>
      </c>
      <c r="C30" s="3" t="s">
        <v>81</v>
      </c>
      <c r="D30" s="3">
        <v>60</v>
      </c>
      <c r="E30" s="3">
        <v>30</v>
      </c>
      <c r="F30" s="3" t="s">
        <v>13</v>
      </c>
      <c r="G30" s="3"/>
    </row>
    <row r="31" spans="1:7" ht="15.75" customHeight="1" x14ac:dyDescent="0.25">
      <c r="A31" s="4" t="s">
        <v>82</v>
      </c>
      <c r="B31" s="4" t="s">
        <v>83</v>
      </c>
      <c r="C31" s="4" t="s">
        <v>84</v>
      </c>
      <c r="D31" s="4">
        <v>40</v>
      </c>
      <c r="E31" s="4">
        <v>10</v>
      </c>
      <c r="F31" s="4" t="s">
        <v>17</v>
      </c>
      <c r="G31" s="3"/>
    </row>
    <row r="32" spans="1:7" ht="15.75" customHeight="1" x14ac:dyDescent="0.25">
      <c r="A32" s="3" t="s">
        <v>85</v>
      </c>
      <c r="B32" s="3" t="s">
        <v>71</v>
      </c>
      <c r="C32" s="3" t="s">
        <v>86</v>
      </c>
      <c r="D32" s="3">
        <v>130</v>
      </c>
      <c r="E32" s="3">
        <v>5</v>
      </c>
      <c r="F32" s="3" t="s">
        <v>9</v>
      </c>
      <c r="G32" s="3"/>
    </row>
    <row r="33" spans="1:7" ht="15.75" customHeight="1" x14ac:dyDescent="0.25">
      <c r="A33" s="4" t="s">
        <v>87</v>
      </c>
      <c r="B33" s="4" t="s">
        <v>88</v>
      </c>
      <c r="C33" s="4" t="s">
        <v>89</v>
      </c>
      <c r="D33" s="4">
        <v>50</v>
      </c>
      <c r="E33" s="4">
        <v>50</v>
      </c>
      <c r="F33" s="4" t="s">
        <v>13</v>
      </c>
      <c r="G33" s="3"/>
    </row>
    <row r="34" spans="1:7" ht="15.75" customHeight="1" x14ac:dyDescent="0.25">
      <c r="A34" s="3" t="s">
        <v>40</v>
      </c>
      <c r="B34" s="3" t="s">
        <v>7</v>
      </c>
      <c r="C34" s="3" t="s">
        <v>41</v>
      </c>
      <c r="D34" s="3">
        <v>950</v>
      </c>
      <c r="E34" s="3">
        <v>25</v>
      </c>
      <c r="F34" s="3" t="s">
        <v>9</v>
      </c>
      <c r="G34" s="3"/>
    </row>
    <row r="35" spans="1:7" ht="15.75" customHeight="1" x14ac:dyDescent="0.25">
      <c r="A35" s="4" t="s">
        <v>90</v>
      </c>
      <c r="B35" s="4" t="s">
        <v>91</v>
      </c>
      <c r="C35" s="4" t="s">
        <v>92</v>
      </c>
      <c r="D35" s="4">
        <v>100</v>
      </c>
      <c r="E35" s="4">
        <v>20</v>
      </c>
      <c r="F35" s="4" t="s">
        <v>53</v>
      </c>
      <c r="G35" s="3"/>
    </row>
    <row r="36" spans="1:7" ht="15.75" customHeight="1" x14ac:dyDescent="0.25"/>
    <row r="37" spans="1:7" ht="15.75" customHeight="1" x14ac:dyDescent="0.25"/>
    <row r="38" spans="1:7" ht="15.75" customHeight="1" x14ac:dyDescent="0.25"/>
    <row r="39" spans="1:7" ht="15.75" customHeight="1" x14ac:dyDescent="0.25"/>
    <row r="40" spans="1:7" ht="15.75" customHeight="1" x14ac:dyDescent="0.25"/>
    <row r="41" spans="1:7" ht="15.75" customHeight="1" x14ac:dyDescent="0.25"/>
    <row r="42" spans="1:7" ht="15.75" customHeight="1" x14ac:dyDescent="0.25"/>
    <row r="43" spans="1:7" ht="15.75" customHeight="1" x14ac:dyDescent="0.25"/>
    <row r="44" spans="1:7" ht="15.75" customHeight="1" x14ac:dyDescent="0.25"/>
    <row r="45" spans="1:7" ht="15.75" customHeight="1" x14ac:dyDescent="0.25"/>
    <row r="46" spans="1:7" ht="15.75" customHeight="1" x14ac:dyDescent="0.25"/>
    <row r="47" spans="1:7" ht="15.75" customHeight="1" x14ac:dyDescent="0.25"/>
    <row r="48" spans="1:7"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924A-4A04-4C02-975F-CFF393740B09}">
  <dimension ref="A1:N54"/>
  <sheetViews>
    <sheetView tabSelected="1" topLeftCell="A8" zoomScaleNormal="100" workbookViewId="0">
      <selection activeCell="D46" sqref="D46"/>
    </sheetView>
  </sheetViews>
  <sheetFormatPr defaultRowHeight="13.2" x14ac:dyDescent="0.25"/>
  <cols>
    <col min="1" max="1" width="18.88671875" customWidth="1"/>
    <col min="2" max="2" width="15.33203125" customWidth="1"/>
    <col min="3" max="3" width="13.6640625" customWidth="1"/>
    <col min="4" max="4" width="12.6640625" customWidth="1"/>
    <col min="5" max="5" width="10.33203125" customWidth="1"/>
    <col min="6" max="6" width="15.5546875" customWidth="1"/>
    <col min="7" max="7" width="14" customWidth="1"/>
    <col min="8" max="8" width="9.21875" style="20" customWidth="1"/>
    <col min="9" max="9" width="15.21875" style="21" customWidth="1"/>
    <col min="10" max="10" width="15.5546875" style="24" customWidth="1"/>
  </cols>
  <sheetData>
    <row r="1" spans="1:14" x14ac:dyDescent="0.25">
      <c r="A1" s="6" t="s">
        <v>0</v>
      </c>
      <c r="B1" s="6" t="s">
        <v>1</v>
      </c>
      <c r="C1" s="6" t="s">
        <v>2</v>
      </c>
      <c r="D1" s="6" t="s">
        <v>3</v>
      </c>
      <c r="E1" s="6" t="s">
        <v>4</v>
      </c>
      <c r="F1" s="6" t="s">
        <v>5</v>
      </c>
      <c r="G1" s="6" t="s">
        <v>98</v>
      </c>
      <c r="H1" s="17" t="s">
        <v>104</v>
      </c>
      <c r="I1" s="17" t="s">
        <v>105</v>
      </c>
      <c r="J1" s="15" t="s">
        <v>106</v>
      </c>
    </row>
    <row r="2" spans="1:14" x14ac:dyDescent="0.25">
      <c r="A2" s="7" t="s">
        <v>6</v>
      </c>
      <c r="B2" s="7" t="s">
        <v>7</v>
      </c>
      <c r="C2" s="7" t="s">
        <v>8</v>
      </c>
      <c r="D2" s="10">
        <v>1000</v>
      </c>
      <c r="E2" s="7">
        <v>30</v>
      </c>
      <c r="F2" s="7" t="s">
        <v>9</v>
      </c>
      <c r="G2" s="7" t="str">
        <f>IF(D2&gt;=500,"High Price","standard price")</f>
        <v>High Price</v>
      </c>
      <c r="H2" s="18" t="str">
        <f>LEFT(A2,2)</f>
        <v>28</v>
      </c>
      <c r="I2" s="18" t="str">
        <f>RIGHT(A2,2)</f>
        <v>US</v>
      </c>
      <c r="J2" s="22" t="str">
        <f>MID(A2,4,3)</f>
        <v>JAN</v>
      </c>
    </row>
    <row r="3" spans="1:14" x14ac:dyDescent="0.25">
      <c r="A3" s="8" t="s">
        <v>10</v>
      </c>
      <c r="B3" s="8" t="s">
        <v>11</v>
      </c>
      <c r="C3" s="8" t="s">
        <v>12</v>
      </c>
      <c r="D3" s="11">
        <v>80</v>
      </c>
      <c r="E3" s="8">
        <v>15</v>
      </c>
      <c r="F3" s="8" t="s">
        <v>13</v>
      </c>
      <c r="G3" s="8" t="str">
        <f t="shared" ref="G3:G35" si="0">IF(D3&gt;=500,"High Price","standard price")</f>
        <v>standard price</v>
      </c>
      <c r="H3" s="19" t="str">
        <f t="shared" ref="H3:H35" si="1">LEFT(A3,2)</f>
        <v>15</v>
      </c>
      <c r="I3" s="19" t="str">
        <f t="shared" ref="I3:I35" si="2">RIGHT(A3,2)</f>
        <v>US</v>
      </c>
      <c r="J3" s="23" t="str">
        <f t="shared" ref="J3:J35" si="3">MID(A3,4,3)</f>
        <v>FEB</v>
      </c>
    </row>
    <row r="4" spans="1:14" x14ac:dyDescent="0.25">
      <c r="A4" s="7" t="s">
        <v>14</v>
      </c>
      <c r="B4" s="7" t="s">
        <v>15</v>
      </c>
      <c r="C4" s="7" t="s">
        <v>16</v>
      </c>
      <c r="D4" s="10">
        <v>130</v>
      </c>
      <c r="E4" s="7">
        <v>40</v>
      </c>
      <c r="F4" s="7" t="s">
        <v>17</v>
      </c>
      <c r="G4" s="7" t="str">
        <f t="shared" si="0"/>
        <v>standard price</v>
      </c>
      <c r="H4" s="18" t="str">
        <f t="shared" si="1"/>
        <v>03</v>
      </c>
      <c r="I4" s="18" t="str">
        <f t="shared" si="2"/>
        <v>US</v>
      </c>
      <c r="J4" s="22" t="str">
        <f t="shared" si="3"/>
        <v>MAR</v>
      </c>
    </row>
    <row r="5" spans="1:14" x14ac:dyDescent="0.25">
      <c r="A5" s="8" t="s">
        <v>18</v>
      </c>
      <c r="B5" s="8" t="s">
        <v>19</v>
      </c>
      <c r="C5" s="8" t="s">
        <v>20</v>
      </c>
      <c r="D5" s="11">
        <v>900</v>
      </c>
      <c r="E5" s="8">
        <v>25</v>
      </c>
      <c r="F5" s="8" t="s">
        <v>9</v>
      </c>
      <c r="G5" s="8" t="str">
        <f t="shared" si="0"/>
        <v>High Price</v>
      </c>
      <c r="H5" s="19" t="str">
        <f t="shared" si="1"/>
        <v>11</v>
      </c>
      <c r="I5" s="19" t="str">
        <f t="shared" si="2"/>
        <v>US</v>
      </c>
      <c r="J5" s="23" t="str">
        <f t="shared" si="3"/>
        <v>APR</v>
      </c>
    </row>
    <row r="6" spans="1:14" x14ac:dyDescent="0.25">
      <c r="A6" s="7" t="s">
        <v>21</v>
      </c>
      <c r="B6" s="7" t="s">
        <v>22</v>
      </c>
      <c r="C6" s="7" t="s">
        <v>23</v>
      </c>
      <c r="D6" s="10">
        <v>70</v>
      </c>
      <c r="E6" s="7">
        <v>20</v>
      </c>
      <c r="F6" s="7" t="s">
        <v>24</v>
      </c>
      <c r="G6" s="7" t="str">
        <f t="shared" si="0"/>
        <v>standard price</v>
      </c>
      <c r="H6" s="18" t="str">
        <f t="shared" si="1"/>
        <v>22</v>
      </c>
      <c r="I6" s="18" t="str">
        <f t="shared" si="2"/>
        <v>US</v>
      </c>
      <c r="J6" s="22" t="str">
        <f t="shared" si="3"/>
        <v>MAY</v>
      </c>
    </row>
    <row r="7" spans="1:14" x14ac:dyDescent="0.25">
      <c r="A7" s="8" t="s">
        <v>25</v>
      </c>
      <c r="B7" s="8" t="s">
        <v>26</v>
      </c>
      <c r="C7" s="8" t="s">
        <v>27</v>
      </c>
      <c r="D7" s="11">
        <v>200</v>
      </c>
      <c r="E7" s="8">
        <v>45</v>
      </c>
      <c r="F7" s="8" t="s">
        <v>9</v>
      </c>
      <c r="G7" s="8" t="str">
        <f t="shared" si="0"/>
        <v>standard price</v>
      </c>
      <c r="H7" s="19" t="str">
        <f t="shared" si="1"/>
        <v>07</v>
      </c>
      <c r="I7" s="19" t="str">
        <f t="shared" si="2"/>
        <v>UK</v>
      </c>
      <c r="J7" s="23" t="str">
        <f t="shared" si="3"/>
        <v>JUN</v>
      </c>
    </row>
    <row r="8" spans="1:14" x14ac:dyDescent="0.25">
      <c r="A8" s="7" t="s">
        <v>28</v>
      </c>
      <c r="B8" s="7" t="s">
        <v>29</v>
      </c>
      <c r="C8" s="7" t="s">
        <v>30</v>
      </c>
      <c r="D8" s="10">
        <v>30</v>
      </c>
      <c r="E8" s="7">
        <v>5</v>
      </c>
      <c r="F8" s="7" t="s">
        <v>13</v>
      </c>
      <c r="G8" s="7" t="str">
        <f t="shared" si="0"/>
        <v>standard price</v>
      </c>
      <c r="H8" s="18" t="str">
        <f t="shared" si="1"/>
        <v>19</v>
      </c>
      <c r="I8" s="18" t="str">
        <f t="shared" si="2"/>
        <v>UK</v>
      </c>
      <c r="J8" s="22" t="str">
        <f t="shared" si="3"/>
        <v>JUL</v>
      </c>
    </row>
    <row r="9" spans="1:14" x14ac:dyDescent="0.25">
      <c r="A9" s="8" t="s">
        <v>31</v>
      </c>
      <c r="B9" s="8" t="s">
        <v>32</v>
      </c>
      <c r="C9" s="8" t="s">
        <v>33</v>
      </c>
      <c r="D9" s="11">
        <v>90</v>
      </c>
      <c r="E9" s="8">
        <v>35</v>
      </c>
      <c r="F9" s="8" t="s">
        <v>17</v>
      </c>
      <c r="G9" s="8" t="str">
        <f t="shared" si="0"/>
        <v>standard price</v>
      </c>
      <c r="H9" s="19" t="str">
        <f t="shared" si="1"/>
        <v>23</v>
      </c>
      <c r="I9" s="19" t="str">
        <f t="shared" si="2"/>
        <v>UK</v>
      </c>
      <c r="J9" s="23" t="str">
        <f t="shared" si="3"/>
        <v>AUG</v>
      </c>
      <c r="N9" s="9"/>
    </row>
    <row r="10" spans="1:14" x14ac:dyDescent="0.25">
      <c r="A10" s="7" t="s">
        <v>34</v>
      </c>
      <c r="B10" s="7" t="s">
        <v>35</v>
      </c>
      <c r="C10" s="7" t="s">
        <v>36</v>
      </c>
      <c r="D10" s="10">
        <v>500</v>
      </c>
      <c r="E10" s="7">
        <v>50</v>
      </c>
      <c r="F10" s="7" t="s">
        <v>9</v>
      </c>
      <c r="G10" s="7" t="str">
        <f t="shared" si="0"/>
        <v>High Price</v>
      </c>
      <c r="H10" s="18" t="str">
        <f t="shared" si="1"/>
        <v>05</v>
      </c>
      <c r="I10" s="18" t="str">
        <f t="shared" si="2"/>
        <v>UK</v>
      </c>
      <c r="J10" s="22" t="str">
        <f t="shared" si="3"/>
        <v>SEP</v>
      </c>
      <c r="N10" s="9"/>
    </row>
    <row r="11" spans="1:14" x14ac:dyDescent="0.25">
      <c r="A11" s="8" t="s">
        <v>37</v>
      </c>
      <c r="B11" s="8" t="s">
        <v>38</v>
      </c>
      <c r="C11" s="8" t="s">
        <v>39</v>
      </c>
      <c r="D11" s="11">
        <v>130</v>
      </c>
      <c r="E11" s="8">
        <v>10</v>
      </c>
      <c r="F11" s="8" t="s">
        <v>24</v>
      </c>
      <c r="G11" s="8" t="str">
        <f t="shared" si="0"/>
        <v>standard price</v>
      </c>
      <c r="H11" s="19" t="str">
        <f t="shared" si="1"/>
        <v>14</v>
      </c>
      <c r="I11" s="19" t="str">
        <f t="shared" si="2"/>
        <v>UK</v>
      </c>
      <c r="J11" s="23" t="str">
        <f t="shared" si="3"/>
        <v>OCT</v>
      </c>
    </row>
    <row r="12" spans="1:14" x14ac:dyDescent="0.25">
      <c r="A12" s="7" t="s">
        <v>40</v>
      </c>
      <c r="B12" s="7" t="s">
        <v>7</v>
      </c>
      <c r="C12" s="7" t="s">
        <v>41</v>
      </c>
      <c r="D12" s="10">
        <v>950</v>
      </c>
      <c r="E12" s="7">
        <v>25</v>
      </c>
      <c r="F12" s="7" t="s">
        <v>9</v>
      </c>
      <c r="G12" s="7" t="str">
        <f t="shared" si="0"/>
        <v>High Price</v>
      </c>
      <c r="H12" s="18" t="str">
        <f t="shared" si="1"/>
        <v>17</v>
      </c>
      <c r="I12" s="18" t="str">
        <f t="shared" si="2"/>
        <v>IN</v>
      </c>
      <c r="J12" s="22" t="str">
        <f t="shared" si="3"/>
        <v>JUN</v>
      </c>
    </row>
    <row r="13" spans="1:14" x14ac:dyDescent="0.25">
      <c r="A13" s="8" t="s">
        <v>42</v>
      </c>
      <c r="B13" s="8" t="s">
        <v>11</v>
      </c>
      <c r="C13" s="8" t="s">
        <v>30</v>
      </c>
      <c r="D13" s="11">
        <v>90</v>
      </c>
      <c r="E13" s="8">
        <v>40</v>
      </c>
      <c r="F13" s="8" t="s">
        <v>13</v>
      </c>
      <c r="G13" s="8" t="str">
        <f t="shared" si="0"/>
        <v>standard price</v>
      </c>
      <c r="H13" s="19" t="str">
        <f t="shared" si="1"/>
        <v>25</v>
      </c>
      <c r="I13" s="19" t="str">
        <f t="shared" si="2"/>
        <v>AU</v>
      </c>
      <c r="J13" s="23" t="str">
        <f t="shared" si="3"/>
        <v>NOV</v>
      </c>
    </row>
    <row r="14" spans="1:14" x14ac:dyDescent="0.25">
      <c r="A14" s="7" t="s">
        <v>43</v>
      </c>
      <c r="B14" s="7" t="s">
        <v>15</v>
      </c>
      <c r="C14" s="7" t="s">
        <v>44</v>
      </c>
      <c r="D14" s="10">
        <v>120</v>
      </c>
      <c r="E14" s="7">
        <v>35</v>
      </c>
      <c r="F14" s="7" t="s">
        <v>17</v>
      </c>
      <c r="G14" s="7" t="str">
        <f t="shared" si="0"/>
        <v>standard price</v>
      </c>
      <c r="H14" s="18" t="str">
        <f t="shared" si="1"/>
        <v>08</v>
      </c>
      <c r="I14" s="18" t="str">
        <f t="shared" si="2"/>
        <v>DE</v>
      </c>
      <c r="J14" s="22" t="str">
        <f t="shared" si="3"/>
        <v>DEC</v>
      </c>
    </row>
    <row r="15" spans="1:14" x14ac:dyDescent="0.25">
      <c r="A15" s="8" t="s">
        <v>45</v>
      </c>
      <c r="B15" s="8" t="s">
        <v>46</v>
      </c>
      <c r="C15" s="8" t="s">
        <v>47</v>
      </c>
      <c r="D15" s="11">
        <v>150</v>
      </c>
      <c r="E15" s="8">
        <v>15</v>
      </c>
      <c r="F15" s="8" t="s">
        <v>9</v>
      </c>
      <c r="G15" s="8" t="str">
        <f t="shared" si="0"/>
        <v>standard price</v>
      </c>
      <c r="H15" s="19" t="str">
        <f t="shared" si="1"/>
        <v>18</v>
      </c>
      <c r="I15" s="19" t="str">
        <f t="shared" si="2"/>
        <v>CA</v>
      </c>
      <c r="J15" s="23" t="str">
        <f t="shared" si="3"/>
        <v>FEB</v>
      </c>
    </row>
    <row r="16" spans="1:14" x14ac:dyDescent="0.25">
      <c r="A16" s="7" t="s">
        <v>48</v>
      </c>
      <c r="B16" s="7" t="s">
        <v>26</v>
      </c>
      <c r="C16" s="7" t="s">
        <v>49</v>
      </c>
      <c r="D16" s="10">
        <v>250</v>
      </c>
      <c r="E16" s="7">
        <v>20</v>
      </c>
      <c r="F16" s="7" t="s">
        <v>9</v>
      </c>
      <c r="G16" s="7" t="str">
        <f t="shared" si="0"/>
        <v>standard price</v>
      </c>
      <c r="H16" s="18" t="str">
        <f t="shared" si="1"/>
        <v>16</v>
      </c>
      <c r="I16" s="18" t="str">
        <f t="shared" si="2"/>
        <v>ES</v>
      </c>
      <c r="J16" s="22" t="str">
        <f t="shared" si="3"/>
        <v>APR</v>
      </c>
    </row>
    <row r="17" spans="1:10" x14ac:dyDescent="0.25">
      <c r="A17" s="8" t="s">
        <v>50</v>
      </c>
      <c r="B17" s="8" t="s">
        <v>51</v>
      </c>
      <c r="C17" s="8" t="s">
        <v>52</v>
      </c>
      <c r="D17" s="11">
        <v>50</v>
      </c>
      <c r="E17" s="8">
        <v>35</v>
      </c>
      <c r="F17" s="8" t="s">
        <v>53</v>
      </c>
      <c r="G17" s="8" t="str">
        <f t="shared" si="0"/>
        <v>standard price</v>
      </c>
      <c r="H17" s="19" t="str">
        <f t="shared" si="1"/>
        <v>21</v>
      </c>
      <c r="I17" s="19" t="str">
        <f t="shared" si="2"/>
        <v>CA</v>
      </c>
      <c r="J17" s="23" t="str">
        <f t="shared" si="3"/>
        <v>AUG</v>
      </c>
    </row>
    <row r="18" spans="1:10" x14ac:dyDescent="0.25">
      <c r="A18" s="7" t="s">
        <v>54</v>
      </c>
      <c r="B18" s="7" t="s">
        <v>46</v>
      </c>
      <c r="C18" s="7" t="s">
        <v>55</v>
      </c>
      <c r="D18" s="10">
        <v>160</v>
      </c>
      <c r="E18" s="7">
        <v>15</v>
      </c>
      <c r="F18" s="7" t="s">
        <v>9</v>
      </c>
      <c r="G18" s="7" t="str">
        <f t="shared" si="0"/>
        <v>standard price</v>
      </c>
      <c r="H18" s="18" t="str">
        <f t="shared" si="1"/>
        <v>20</v>
      </c>
      <c r="I18" s="18" t="str">
        <f t="shared" si="2"/>
        <v>CN</v>
      </c>
      <c r="J18" s="22" t="str">
        <f t="shared" si="3"/>
        <v>AUG</v>
      </c>
    </row>
    <row r="19" spans="1:10" x14ac:dyDescent="0.25">
      <c r="A19" s="8" t="s">
        <v>56</v>
      </c>
      <c r="B19" s="8" t="s">
        <v>7</v>
      </c>
      <c r="C19" s="8" t="s">
        <v>57</v>
      </c>
      <c r="D19" s="11">
        <v>980</v>
      </c>
      <c r="E19" s="8">
        <v>10</v>
      </c>
      <c r="F19" s="8" t="s">
        <v>9</v>
      </c>
      <c r="G19" s="8" t="str">
        <f t="shared" si="0"/>
        <v>High Price</v>
      </c>
      <c r="H19" s="19" t="str">
        <f t="shared" si="1"/>
        <v>27</v>
      </c>
      <c r="I19" s="19" t="str">
        <f t="shared" si="2"/>
        <v>IT</v>
      </c>
      <c r="J19" s="23" t="str">
        <f t="shared" si="3"/>
        <v>JAN</v>
      </c>
    </row>
    <row r="20" spans="1:10" x14ac:dyDescent="0.25">
      <c r="A20" s="7" t="s">
        <v>58</v>
      </c>
      <c r="B20" s="7" t="s">
        <v>59</v>
      </c>
      <c r="C20" s="7" t="s">
        <v>60</v>
      </c>
      <c r="D20" s="10">
        <v>150</v>
      </c>
      <c r="E20" s="7">
        <v>15</v>
      </c>
      <c r="F20" s="7" t="s">
        <v>13</v>
      </c>
      <c r="G20" s="7" t="str">
        <f t="shared" si="0"/>
        <v>standard price</v>
      </c>
      <c r="H20" s="18" t="str">
        <f t="shared" si="1"/>
        <v>01</v>
      </c>
      <c r="I20" s="18" t="str">
        <f t="shared" si="2"/>
        <v>UK</v>
      </c>
      <c r="J20" s="22" t="str">
        <f t="shared" si="3"/>
        <v>MAR</v>
      </c>
    </row>
    <row r="21" spans="1:10" x14ac:dyDescent="0.25">
      <c r="A21" s="8" t="s">
        <v>61</v>
      </c>
      <c r="B21" s="8" t="s">
        <v>62</v>
      </c>
      <c r="C21" s="8" t="s">
        <v>63</v>
      </c>
      <c r="D21" s="11">
        <v>200</v>
      </c>
      <c r="E21" s="8">
        <v>10</v>
      </c>
      <c r="F21" s="8" t="s">
        <v>24</v>
      </c>
      <c r="G21" s="8" t="str">
        <f t="shared" si="0"/>
        <v>standard price</v>
      </c>
      <c r="H21" s="19" t="str">
        <f t="shared" si="1"/>
        <v>14</v>
      </c>
      <c r="I21" s="19" t="str">
        <f t="shared" si="2"/>
        <v>US</v>
      </c>
      <c r="J21" s="23" t="str">
        <f t="shared" si="3"/>
        <v>AUG</v>
      </c>
    </row>
    <row r="22" spans="1:10" x14ac:dyDescent="0.25">
      <c r="A22" s="7" t="s">
        <v>64</v>
      </c>
      <c r="B22" s="7" t="s">
        <v>65</v>
      </c>
      <c r="C22" s="7" t="s">
        <v>66</v>
      </c>
      <c r="D22" s="10">
        <v>700</v>
      </c>
      <c r="E22" s="7">
        <v>50</v>
      </c>
      <c r="F22" s="7" t="s">
        <v>9</v>
      </c>
      <c r="G22" s="7" t="str">
        <f t="shared" si="0"/>
        <v>High Price</v>
      </c>
      <c r="H22" s="18" t="str">
        <f t="shared" si="1"/>
        <v>14</v>
      </c>
      <c r="I22" s="18" t="str">
        <f t="shared" si="2"/>
        <v>RU</v>
      </c>
      <c r="J22" s="22" t="str">
        <f t="shared" si="3"/>
        <v>MAY</v>
      </c>
    </row>
    <row r="23" spans="1:10" x14ac:dyDescent="0.25">
      <c r="A23" s="8" t="s">
        <v>67</v>
      </c>
      <c r="B23" s="8" t="s">
        <v>68</v>
      </c>
      <c r="C23" s="8" t="s">
        <v>69</v>
      </c>
      <c r="D23" s="11">
        <v>80</v>
      </c>
      <c r="E23" s="8">
        <v>20</v>
      </c>
      <c r="F23" s="8" t="s">
        <v>17</v>
      </c>
      <c r="G23" s="8" t="str">
        <f t="shared" si="0"/>
        <v>standard price</v>
      </c>
      <c r="H23" s="19" t="str">
        <f t="shared" si="1"/>
        <v>09</v>
      </c>
      <c r="I23" s="19" t="str">
        <f t="shared" si="2"/>
        <v>CA</v>
      </c>
      <c r="J23" s="23" t="str">
        <f t="shared" si="3"/>
        <v>JAN</v>
      </c>
    </row>
    <row r="24" spans="1:10" x14ac:dyDescent="0.25">
      <c r="A24" s="7" t="s">
        <v>70</v>
      </c>
      <c r="B24" s="7" t="s">
        <v>71</v>
      </c>
      <c r="C24" s="7" t="s">
        <v>72</v>
      </c>
      <c r="D24" s="10">
        <v>150</v>
      </c>
      <c r="E24" s="7">
        <v>30</v>
      </c>
      <c r="F24" s="7" t="s">
        <v>9</v>
      </c>
      <c r="G24" s="7" t="str">
        <f t="shared" si="0"/>
        <v>standard price</v>
      </c>
      <c r="H24" s="18" t="str">
        <f t="shared" si="1"/>
        <v>19</v>
      </c>
      <c r="I24" s="18" t="str">
        <f t="shared" si="2"/>
        <v>BR</v>
      </c>
      <c r="J24" s="22" t="str">
        <f t="shared" si="3"/>
        <v>JUL</v>
      </c>
    </row>
    <row r="25" spans="1:10" x14ac:dyDescent="0.25">
      <c r="A25" s="8" t="s">
        <v>50</v>
      </c>
      <c r="B25" s="8" t="s">
        <v>51</v>
      </c>
      <c r="C25" s="8" t="s">
        <v>52</v>
      </c>
      <c r="D25" s="11">
        <v>50</v>
      </c>
      <c r="E25" s="8">
        <v>35</v>
      </c>
      <c r="F25" s="8" t="s">
        <v>53</v>
      </c>
      <c r="G25" s="8" t="str">
        <f t="shared" si="0"/>
        <v>standard price</v>
      </c>
      <c r="H25" s="19" t="str">
        <f t="shared" si="1"/>
        <v>21</v>
      </c>
      <c r="I25" s="19" t="str">
        <f t="shared" si="2"/>
        <v>CA</v>
      </c>
      <c r="J25" s="23" t="str">
        <f t="shared" si="3"/>
        <v>AUG</v>
      </c>
    </row>
    <row r="26" spans="1:10" x14ac:dyDescent="0.25">
      <c r="A26" s="7" t="s">
        <v>73</v>
      </c>
      <c r="B26" s="7" t="s">
        <v>19</v>
      </c>
      <c r="C26" s="7" t="s">
        <v>74</v>
      </c>
      <c r="D26" s="10">
        <v>800</v>
      </c>
      <c r="E26" s="7">
        <v>45</v>
      </c>
      <c r="F26" s="7" t="s">
        <v>9</v>
      </c>
      <c r="G26" s="7" t="str">
        <f t="shared" si="0"/>
        <v>High Price</v>
      </c>
      <c r="H26" s="18" t="str">
        <f t="shared" si="1"/>
        <v>29</v>
      </c>
      <c r="I26" s="18" t="str">
        <f t="shared" si="2"/>
        <v>CA</v>
      </c>
      <c r="J26" s="22" t="str">
        <f t="shared" si="3"/>
        <v>SEP</v>
      </c>
    </row>
    <row r="27" spans="1:10" x14ac:dyDescent="0.25">
      <c r="A27" s="8" t="s">
        <v>75</v>
      </c>
      <c r="B27" s="8" t="s">
        <v>59</v>
      </c>
      <c r="C27" s="8" t="s">
        <v>76</v>
      </c>
      <c r="D27" s="11">
        <v>130</v>
      </c>
      <c r="E27" s="8">
        <v>25</v>
      </c>
      <c r="F27" s="8" t="s">
        <v>13</v>
      </c>
      <c r="G27" s="8" t="str">
        <f>IF(D27&gt;=500,"High Price","standard price")</f>
        <v>standard price</v>
      </c>
      <c r="H27" s="19" t="str">
        <f t="shared" si="1"/>
        <v>03</v>
      </c>
      <c r="I27" s="19" t="str">
        <f t="shared" si="2"/>
        <v>CA</v>
      </c>
      <c r="J27" s="23" t="str">
        <f t="shared" si="3"/>
        <v>JUN</v>
      </c>
    </row>
    <row r="28" spans="1:10" x14ac:dyDescent="0.25">
      <c r="A28" s="7" t="s">
        <v>77</v>
      </c>
      <c r="B28" s="7" t="s">
        <v>32</v>
      </c>
      <c r="C28" s="7" t="s">
        <v>78</v>
      </c>
      <c r="D28" s="10">
        <v>400</v>
      </c>
      <c r="E28" s="7">
        <v>40</v>
      </c>
      <c r="F28" s="7" t="s">
        <v>17</v>
      </c>
      <c r="G28" s="7" t="str">
        <f t="shared" si="0"/>
        <v>standard price</v>
      </c>
      <c r="H28" s="18" t="str">
        <f t="shared" si="1"/>
        <v>11</v>
      </c>
      <c r="I28" s="18" t="str">
        <f t="shared" si="2"/>
        <v>CA</v>
      </c>
      <c r="J28" s="22" t="str">
        <f t="shared" si="3"/>
        <v>JUL</v>
      </c>
    </row>
    <row r="29" spans="1:10" x14ac:dyDescent="0.25">
      <c r="A29" s="8" t="s">
        <v>48</v>
      </c>
      <c r="B29" s="8" t="s">
        <v>26</v>
      </c>
      <c r="C29" s="8" t="s">
        <v>49</v>
      </c>
      <c r="D29" s="11">
        <v>230</v>
      </c>
      <c r="E29" s="8">
        <v>20</v>
      </c>
      <c r="F29" s="8" t="s">
        <v>9</v>
      </c>
      <c r="G29" s="8" t="str">
        <f t="shared" si="0"/>
        <v>standard price</v>
      </c>
      <c r="H29" s="19" t="str">
        <f t="shared" si="1"/>
        <v>16</v>
      </c>
      <c r="I29" s="19" t="str">
        <f t="shared" si="2"/>
        <v>ES</v>
      </c>
      <c r="J29" s="23" t="str">
        <f t="shared" si="3"/>
        <v>APR</v>
      </c>
    </row>
    <row r="30" spans="1:10" x14ac:dyDescent="0.25">
      <c r="A30" s="7" t="s">
        <v>79</v>
      </c>
      <c r="B30" s="7" t="s">
        <v>80</v>
      </c>
      <c r="C30" s="7" t="s">
        <v>81</v>
      </c>
      <c r="D30" s="10">
        <v>60</v>
      </c>
      <c r="E30" s="7">
        <v>30</v>
      </c>
      <c r="F30" s="7" t="s">
        <v>13</v>
      </c>
      <c r="G30" s="7" t="str">
        <f t="shared" si="0"/>
        <v>standard price</v>
      </c>
      <c r="H30" s="18" t="str">
        <f t="shared" si="1"/>
        <v>07</v>
      </c>
      <c r="I30" s="18" t="str">
        <f t="shared" si="2"/>
        <v>CA</v>
      </c>
      <c r="J30" s="22" t="str">
        <f t="shared" si="3"/>
        <v>MAR</v>
      </c>
    </row>
    <row r="31" spans="1:10" x14ac:dyDescent="0.25">
      <c r="A31" s="8" t="s">
        <v>82</v>
      </c>
      <c r="B31" s="8" t="s">
        <v>83</v>
      </c>
      <c r="C31" s="8" t="s">
        <v>84</v>
      </c>
      <c r="D31" s="11">
        <v>40</v>
      </c>
      <c r="E31" s="8">
        <v>10</v>
      </c>
      <c r="F31" s="8" t="s">
        <v>17</v>
      </c>
      <c r="G31" s="8" t="str">
        <f t="shared" si="0"/>
        <v>standard price</v>
      </c>
      <c r="H31" s="19" t="str">
        <f t="shared" si="1"/>
        <v>13</v>
      </c>
      <c r="I31" s="19" t="str">
        <f t="shared" si="2"/>
        <v>CA</v>
      </c>
      <c r="J31" s="23" t="str">
        <f t="shared" si="3"/>
        <v>APR</v>
      </c>
    </row>
    <row r="32" spans="1:10" x14ac:dyDescent="0.25">
      <c r="A32" s="7" t="s">
        <v>85</v>
      </c>
      <c r="B32" s="7" t="s">
        <v>71</v>
      </c>
      <c r="C32" s="7" t="s">
        <v>86</v>
      </c>
      <c r="D32" s="10">
        <v>130</v>
      </c>
      <c r="E32" s="7">
        <v>5</v>
      </c>
      <c r="F32" s="7" t="s">
        <v>9</v>
      </c>
      <c r="G32" s="7" t="str">
        <f t="shared" si="0"/>
        <v>standard price</v>
      </c>
      <c r="H32" s="18" t="str">
        <f t="shared" si="1"/>
        <v>24</v>
      </c>
      <c r="I32" s="18" t="str">
        <f t="shared" si="2"/>
        <v>CA</v>
      </c>
      <c r="J32" s="22" t="str">
        <f t="shared" si="3"/>
        <v>MAY</v>
      </c>
    </row>
    <row r="33" spans="1:10" x14ac:dyDescent="0.25">
      <c r="A33" s="8" t="s">
        <v>87</v>
      </c>
      <c r="B33" s="8" t="s">
        <v>88</v>
      </c>
      <c r="C33" s="8" t="s">
        <v>89</v>
      </c>
      <c r="D33" s="11">
        <v>50</v>
      </c>
      <c r="E33" s="8">
        <v>50</v>
      </c>
      <c r="F33" s="8" t="s">
        <v>13</v>
      </c>
      <c r="G33" s="8" t="str">
        <f t="shared" si="0"/>
        <v>standard price</v>
      </c>
      <c r="H33" s="19" t="str">
        <f t="shared" si="1"/>
        <v>02</v>
      </c>
      <c r="I33" s="19" t="str">
        <f t="shared" si="2"/>
        <v>CA</v>
      </c>
      <c r="J33" s="23" t="str">
        <f t="shared" si="3"/>
        <v>DEC</v>
      </c>
    </row>
    <row r="34" spans="1:10" x14ac:dyDescent="0.25">
      <c r="A34" s="7" t="s">
        <v>40</v>
      </c>
      <c r="B34" s="7" t="s">
        <v>7</v>
      </c>
      <c r="C34" s="7" t="s">
        <v>41</v>
      </c>
      <c r="D34" s="10">
        <v>950</v>
      </c>
      <c r="E34" s="7">
        <v>25</v>
      </c>
      <c r="F34" s="7" t="s">
        <v>9</v>
      </c>
      <c r="G34" s="7" t="str">
        <f t="shared" si="0"/>
        <v>High Price</v>
      </c>
      <c r="H34" s="18" t="str">
        <f t="shared" si="1"/>
        <v>17</v>
      </c>
      <c r="I34" s="18" t="str">
        <f t="shared" si="2"/>
        <v>IN</v>
      </c>
      <c r="J34" s="22" t="str">
        <f t="shared" si="3"/>
        <v>JUN</v>
      </c>
    </row>
    <row r="35" spans="1:10" x14ac:dyDescent="0.25">
      <c r="A35" s="8" t="s">
        <v>90</v>
      </c>
      <c r="B35" s="8" t="s">
        <v>91</v>
      </c>
      <c r="C35" s="8" t="s">
        <v>92</v>
      </c>
      <c r="D35" s="11">
        <v>100</v>
      </c>
      <c r="E35" s="8">
        <v>20</v>
      </c>
      <c r="F35" s="8" t="s">
        <v>53</v>
      </c>
      <c r="G35" s="8" t="str">
        <f t="shared" si="0"/>
        <v>standard price</v>
      </c>
      <c r="H35" s="19" t="str">
        <f t="shared" si="1"/>
        <v>09</v>
      </c>
      <c r="I35" s="19" t="str">
        <f t="shared" si="2"/>
        <v>FR</v>
      </c>
      <c r="J35" s="23" t="str">
        <f t="shared" si="3"/>
        <v>JUL</v>
      </c>
    </row>
    <row r="36" spans="1:10" x14ac:dyDescent="0.25">
      <c r="D36" s="12"/>
    </row>
    <row r="37" spans="1:10" ht="13.2" customHeight="1" x14ac:dyDescent="0.25"/>
    <row r="38" spans="1:10" ht="14.4" customHeight="1" x14ac:dyDescent="0.25">
      <c r="A38" s="16" t="s">
        <v>101</v>
      </c>
      <c r="B38" s="13"/>
    </row>
    <row r="39" spans="1:10" ht="26.4" x14ac:dyDescent="0.25">
      <c r="A39" s="13" t="s">
        <v>93</v>
      </c>
      <c r="B39" s="29">
        <f>SUM(D2:D35)</f>
        <v>10100</v>
      </c>
    </row>
    <row r="40" spans="1:10" ht="26.4" x14ac:dyDescent="0.25">
      <c r="A40" s="13" t="s">
        <v>94</v>
      </c>
      <c r="B40" s="30">
        <f>COUNTA(A2:A35)</f>
        <v>34</v>
      </c>
    </row>
    <row r="41" spans="1:10" ht="26.4" x14ac:dyDescent="0.25">
      <c r="A41" s="13" t="s">
        <v>95</v>
      </c>
      <c r="B41" s="29">
        <f>AVERAGE(D2:D35)</f>
        <v>297.05882352941177</v>
      </c>
    </row>
    <row r="42" spans="1:10" x14ac:dyDescent="0.25">
      <c r="A42" s="16" t="s">
        <v>102</v>
      </c>
      <c r="B42" s="30"/>
    </row>
    <row r="43" spans="1:10" x14ac:dyDescent="0.25">
      <c r="A43" s="14" t="s">
        <v>96</v>
      </c>
      <c r="B43" s="29">
        <f>MIN(D2:D35)</f>
        <v>30</v>
      </c>
    </row>
    <row r="44" spans="1:10" x14ac:dyDescent="0.25">
      <c r="A44" s="14" t="s">
        <v>97</v>
      </c>
      <c r="B44" s="29">
        <f>MAX(D2:D35)</f>
        <v>1000</v>
      </c>
    </row>
    <row r="45" spans="1:10" ht="17.399999999999999" customHeight="1" x14ac:dyDescent="0.25">
      <c r="A45" s="16" t="s">
        <v>103</v>
      </c>
      <c r="B45" s="30"/>
    </row>
    <row r="46" spans="1:10" ht="36.6" customHeight="1" x14ac:dyDescent="0.25">
      <c r="A46" s="14" t="s">
        <v>99</v>
      </c>
      <c r="B46" s="30">
        <f>SUMIF(F2:F35,"Electronics",D2:D35)</f>
        <v>8050</v>
      </c>
    </row>
    <row r="47" spans="1:10" ht="39.6" x14ac:dyDescent="0.25">
      <c r="A47" s="14" t="s">
        <v>100</v>
      </c>
      <c r="B47" s="30">
        <f>COUNTIF(D2:D35,"&lt;100")</f>
        <v>11</v>
      </c>
      <c r="D47" s="28"/>
    </row>
    <row r="48" spans="1:10" ht="13.8" x14ac:dyDescent="0.3">
      <c r="A48" s="25"/>
      <c r="B48" s="26"/>
    </row>
    <row r="49" spans="1:2" x14ac:dyDescent="0.25">
      <c r="A49" s="27"/>
      <c r="B49" s="26"/>
    </row>
    <row r="50" spans="1:2" x14ac:dyDescent="0.25">
      <c r="A50" s="26"/>
      <c r="B50" s="26"/>
    </row>
    <row r="51" spans="1:2" x14ac:dyDescent="0.25">
      <c r="A51" s="26"/>
      <c r="B51" s="26"/>
    </row>
    <row r="52" spans="1:2" x14ac:dyDescent="0.25">
      <c r="A52" s="26"/>
      <c r="B52" s="26"/>
    </row>
    <row r="53" spans="1:2" x14ac:dyDescent="0.25">
      <c r="A53" s="26"/>
      <c r="B53" s="26"/>
    </row>
    <row r="54" spans="1:2" x14ac:dyDescent="0.25">
      <c r="A54" s="26"/>
      <c r="B54" s="26"/>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B8E956-717D-4C2F-8D18-73338D380A0D}">
  <dimension ref="A1:A14"/>
  <sheetViews>
    <sheetView topLeftCell="A6" workbookViewId="0">
      <selection activeCell="D10" sqref="D10"/>
    </sheetView>
  </sheetViews>
  <sheetFormatPr defaultRowHeight="13.2" x14ac:dyDescent="0.25"/>
  <cols>
    <col min="1" max="1" width="53.6640625" customWidth="1"/>
    <col min="2" max="2" width="8.88671875" customWidth="1"/>
  </cols>
  <sheetData>
    <row r="1" spans="1:1" x14ac:dyDescent="0.25">
      <c r="A1" s="31" t="s">
        <v>107</v>
      </c>
    </row>
    <row r="2" spans="1:1" ht="26.4" x14ac:dyDescent="0.25">
      <c r="A2" s="26" t="s">
        <v>113</v>
      </c>
    </row>
    <row r="3" spans="1:1" ht="26.4" x14ac:dyDescent="0.25">
      <c r="A3" s="26" t="s">
        <v>114</v>
      </c>
    </row>
    <row r="4" spans="1:1" ht="26.4" x14ac:dyDescent="0.25">
      <c r="A4" s="26" t="s">
        <v>108</v>
      </c>
    </row>
    <row r="5" spans="1:1" ht="26.4" x14ac:dyDescent="0.25">
      <c r="A5" s="26" t="s">
        <v>109</v>
      </c>
    </row>
    <row r="6" spans="1:1" ht="66" x14ac:dyDescent="0.25">
      <c r="A6" s="26" t="s">
        <v>110</v>
      </c>
    </row>
    <row r="7" spans="1:1" ht="26.4" x14ac:dyDescent="0.25">
      <c r="A7" s="26" t="s">
        <v>111</v>
      </c>
    </row>
    <row r="8" spans="1:1" ht="26.4" x14ac:dyDescent="0.25">
      <c r="A8" s="26" t="s">
        <v>112</v>
      </c>
    </row>
    <row r="9" spans="1:1" ht="39.6" x14ac:dyDescent="0.25">
      <c r="A9" s="26" t="s">
        <v>115</v>
      </c>
    </row>
    <row r="10" spans="1:1" ht="52.8" x14ac:dyDescent="0.25">
      <c r="A10" s="26" t="s">
        <v>116</v>
      </c>
    </row>
    <row r="11" spans="1:1" ht="39.6" x14ac:dyDescent="0.25">
      <c r="A11" s="26" t="s">
        <v>117</v>
      </c>
    </row>
    <row r="14" spans="1:1" x14ac:dyDescent="0.25">
      <c r="A14" s="32" t="s">
        <v>118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Dataset</vt:lpstr>
      <vt:lpstr>Data Exploration</vt:lpstr>
      <vt:lpstr>Observation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jacelin deepa</cp:lastModifiedBy>
  <dcterms:modified xsi:type="dcterms:W3CDTF">2026-09-16T07:12:46Z</dcterms:modified>
</cp:coreProperties>
</file>